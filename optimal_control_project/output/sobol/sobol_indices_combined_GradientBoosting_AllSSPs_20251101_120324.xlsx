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ffitheduau-my.sharepoint.com/personal/nina_rynne_griffithuni_edu_au/Documents/PhD/Projects/Climate Overshoot/code/Python/optimal_control_project/output/sobol/"/>
    </mc:Choice>
  </mc:AlternateContent>
  <xr:revisionPtr revIDLastSave="234" documentId="8_{A88AE1AC-F4C0-49D6-B6EF-1666D2164E76}" xr6:coauthVersionLast="47" xr6:coauthVersionMax="47" xr10:uidLastSave="{90C30724-BB55-48E2-8A07-1F1CD0557BEB}"/>
  <bookViews>
    <workbookView xWindow="28680" yWindow="-2085" windowWidth="29040" windowHeight="15720" activeTab="1" xr2:uid="{7C94777A-FA28-41C1-A9B9-FF03073D900B}"/>
  </bookViews>
  <sheets>
    <sheet name="sobol_indices_combined_Gradient" sheetId="1" r:id="rId1"/>
    <sheet name="Sheet3" sheetId="4" r:id="rId2"/>
    <sheet name="backup" sheetId="3" r:id="rId3"/>
  </sheets>
  <calcPr calcId="0"/>
</workbook>
</file>

<file path=xl/calcChain.xml><?xml version="1.0" encoding="utf-8"?>
<calcChain xmlns="http://schemas.openxmlformats.org/spreadsheetml/2006/main">
  <c r="K17" i="1" l="1"/>
  <c r="L17" i="1"/>
  <c r="K18" i="1"/>
  <c r="L18" i="1"/>
  <c r="K19" i="1"/>
  <c r="L19" i="1"/>
  <c r="K20" i="1"/>
  <c r="L20" i="1"/>
  <c r="K21" i="1"/>
  <c r="L21" i="1"/>
  <c r="K22" i="1"/>
  <c r="L22" i="1"/>
  <c r="L16" i="1"/>
  <c r="K16" i="1"/>
  <c r="I17" i="1"/>
  <c r="J17" i="1"/>
  <c r="I18" i="1"/>
  <c r="J18" i="1"/>
  <c r="I19" i="1"/>
  <c r="J19" i="1"/>
  <c r="I20" i="1"/>
  <c r="J20" i="1"/>
  <c r="I21" i="1"/>
  <c r="J21" i="1"/>
  <c r="I22" i="1"/>
  <c r="J22" i="1"/>
  <c r="J16" i="1"/>
  <c r="I16" i="1"/>
  <c r="G17" i="1"/>
  <c r="H17" i="1"/>
  <c r="G18" i="1"/>
  <c r="H18" i="1"/>
  <c r="G19" i="1"/>
  <c r="H19" i="1"/>
  <c r="G20" i="1"/>
  <c r="H20" i="1"/>
  <c r="G21" i="1"/>
  <c r="H21" i="1"/>
  <c r="G22" i="1"/>
  <c r="H22" i="1"/>
  <c r="H16" i="1"/>
  <c r="G16" i="1"/>
  <c r="E17" i="1"/>
  <c r="F17" i="1"/>
  <c r="E18" i="1"/>
  <c r="F18" i="1"/>
  <c r="E19" i="1"/>
  <c r="F19" i="1"/>
  <c r="E20" i="1"/>
  <c r="F20" i="1"/>
  <c r="E21" i="1"/>
  <c r="F21" i="1"/>
  <c r="E22" i="1"/>
  <c r="F22" i="1"/>
  <c r="F16" i="1"/>
  <c r="E16" i="1"/>
  <c r="C17" i="1"/>
  <c r="D17" i="1"/>
  <c r="C18" i="1"/>
  <c r="D18" i="1"/>
  <c r="C19" i="1"/>
  <c r="D19" i="1"/>
  <c r="C20" i="1"/>
  <c r="D20" i="1"/>
  <c r="C21" i="1"/>
  <c r="D21" i="1"/>
  <c r="C22" i="1"/>
  <c r="D22" i="1"/>
  <c r="D16" i="1"/>
  <c r="C16" i="1"/>
  <c r="L22" i="3"/>
  <c r="K22" i="3"/>
  <c r="J22" i="3"/>
  <c r="I22" i="3"/>
  <c r="H22" i="3"/>
  <c r="G22" i="3"/>
  <c r="F22" i="3"/>
  <c r="E22" i="3"/>
  <c r="D22" i="3"/>
  <c r="C22" i="3"/>
  <c r="L21" i="3"/>
  <c r="K21" i="3"/>
  <c r="J21" i="3"/>
  <c r="I21" i="3"/>
  <c r="H21" i="3"/>
  <c r="G21" i="3"/>
  <c r="F21" i="3"/>
  <c r="E21" i="3"/>
  <c r="D21" i="3"/>
  <c r="C21" i="3"/>
  <c r="L20" i="3"/>
  <c r="K20" i="3"/>
  <c r="J20" i="3"/>
  <c r="I20" i="3"/>
  <c r="H20" i="3"/>
  <c r="G20" i="3"/>
  <c r="F20" i="3"/>
  <c r="E20" i="3"/>
  <c r="D20" i="3"/>
  <c r="C20" i="3"/>
  <c r="L19" i="3"/>
  <c r="K19" i="3"/>
  <c r="J19" i="3"/>
  <c r="I19" i="3"/>
  <c r="H19" i="3"/>
  <c r="G19" i="3"/>
  <c r="F19" i="3"/>
  <c r="E19" i="3"/>
  <c r="D19" i="3"/>
  <c r="C19" i="3"/>
  <c r="L18" i="3"/>
  <c r="K18" i="3"/>
  <c r="J18" i="3"/>
  <c r="I18" i="3"/>
  <c r="H18" i="3"/>
  <c r="G18" i="3"/>
  <c r="F18" i="3"/>
  <c r="E18" i="3"/>
  <c r="D18" i="3"/>
  <c r="C18" i="3"/>
  <c r="L17" i="3"/>
  <c r="K17" i="3"/>
  <c r="J17" i="3"/>
  <c r="I17" i="3"/>
  <c r="H17" i="3"/>
  <c r="G17" i="3"/>
  <c r="F17" i="3"/>
  <c r="E17" i="3"/>
  <c r="D17" i="3"/>
  <c r="C17" i="3"/>
  <c r="L16" i="3"/>
  <c r="K16" i="3"/>
  <c r="J16" i="3"/>
  <c r="I16" i="3"/>
  <c r="H16" i="3"/>
  <c r="G16" i="3"/>
  <c r="F16" i="3"/>
  <c r="E16" i="3"/>
  <c r="D16" i="3"/>
  <c r="C16" i="3"/>
</calcChain>
</file>

<file path=xl/sharedStrings.xml><?xml version="1.0" encoding="utf-8"?>
<sst xmlns="http://schemas.openxmlformats.org/spreadsheetml/2006/main" count="873" uniqueCount="203">
  <si>
    <t>SSP1_Total Cost_S1</t>
  </si>
  <si>
    <t>SSP1_Total Cost_S1_conf</t>
  </si>
  <si>
    <t>SSP1_Total Cost_ST</t>
  </si>
  <si>
    <t>SSP1_Total Cost_ST_conf</t>
  </si>
  <si>
    <t>SSP1_Total Cost_Interaction</t>
  </si>
  <si>
    <t>SSP1_Total Mitigation_S1</t>
  </si>
  <si>
    <t>SSP1_Total Mitigation_S1_conf</t>
  </si>
  <si>
    <t>SSP1_Total Mitigation_ST</t>
  </si>
  <si>
    <t>SSP1_Total Mitigation_ST_conf</t>
  </si>
  <si>
    <t>SSP1_Total Mitigation_Interaction</t>
  </si>
  <si>
    <t>SSP1_Total Removal_S1</t>
  </si>
  <si>
    <t>SSP1_Total Removal_S1_conf</t>
  </si>
  <si>
    <t>SSP1_Total Removal_ST</t>
  </si>
  <si>
    <t>SSP1_Total Removal_ST_conf</t>
  </si>
  <si>
    <t>SSP1_Total Removal_Interaction</t>
  </si>
  <si>
    <t>SSP2_Total Cost_S1</t>
  </si>
  <si>
    <t>SSP2_Total Cost_S1_conf</t>
  </si>
  <si>
    <t>SSP2_Total Cost_ST</t>
  </si>
  <si>
    <t>SSP2_Total Cost_ST_conf</t>
  </si>
  <si>
    <t>SSP2_Total Cost_Interaction</t>
  </si>
  <si>
    <t>SSP2_Total Mitigation_S1</t>
  </si>
  <si>
    <t>SSP2_Total Mitigation_S1_conf</t>
  </si>
  <si>
    <t>SSP2_Total Mitigation_ST</t>
  </si>
  <si>
    <t>SSP2_Total Mitigation_ST_conf</t>
  </si>
  <si>
    <t>SSP2_Total Mitigation_Interaction</t>
  </si>
  <si>
    <t>SSP2_Total Removal_S1</t>
  </si>
  <si>
    <t>SSP2_Total Removal_S1_conf</t>
  </si>
  <si>
    <t>SSP2_Total Removal_ST</t>
  </si>
  <si>
    <t>SSP2_Total Removal_ST_conf</t>
  </si>
  <si>
    <t>SSP2_Total Removal_Interaction</t>
  </si>
  <si>
    <t>SSP3_Total Cost_S1</t>
  </si>
  <si>
    <t>SSP3_Total Cost_S1_conf</t>
  </si>
  <si>
    <t>SSP3_Total Cost_ST</t>
  </si>
  <si>
    <t>SSP3_Total Cost_ST_conf</t>
  </si>
  <si>
    <t>SSP3_Total Cost_Interaction</t>
  </si>
  <si>
    <t>SSP3_Total Mitigation_S1</t>
  </si>
  <si>
    <t>SSP3_Total Mitigation_S1_conf</t>
  </si>
  <si>
    <t>SSP3_Total Mitigation_ST</t>
  </si>
  <si>
    <t>SSP3_Total Mitigation_ST_conf</t>
  </si>
  <si>
    <t>SSP3_Total Mitigation_Interaction</t>
  </si>
  <si>
    <t>SSP3_Total Removal_S1</t>
  </si>
  <si>
    <t>SSP3_Total Removal_S1_conf</t>
  </si>
  <si>
    <t>SSP3_Total Removal_ST</t>
  </si>
  <si>
    <t>SSP3_Total Removal_ST_conf</t>
  </si>
  <si>
    <t>SSP3_Total Removal_Interaction</t>
  </si>
  <si>
    <t>SSP4_Total Cost_S1</t>
  </si>
  <si>
    <t>SSP4_Total Cost_S1_conf</t>
  </si>
  <si>
    <t>SSP4_Total Cost_ST</t>
  </si>
  <si>
    <t>SSP4_Total Cost_ST_conf</t>
  </si>
  <si>
    <t>SSP4_Total Cost_Interaction</t>
  </si>
  <si>
    <t>SSP4_Total Mitigation_S1</t>
  </si>
  <si>
    <t>SSP4_Total Mitigation_S1_conf</t>
  </si>
  <si>
    <t>SSP4_Total Mitigation_ST</t>
  </si>
  <si>
    <t>SSP4_Total Mitigation_ST_conf</t>
  </si>
  <si>
    <t>SSP4_Total Mitigation_Interaction</t>
  </si>
  <si>
    <t>SSP4_Total Removal_S1</t>
  </si>
  <si>
    <t>SSP4_Total Removal_S1_conf</t>
  </si>
  <si>
    <t>SSP4_Total Removal_ST</t>
  </si>
  <si>
    <t>SSP4_Total Removal_ST_conf</t>
  </si>
  <si>
    <t>SSP4_Total Removal_Interaction</t>
  </si>
  <si>
    <t>SSP5_Total Cost_S1</t>
  </si>
  <si>
    <t>SSP5_Total Cost_S1_conf</t>
  </si>
  <si>
    <t>SSP5_Total Cost_ST</t>
  </si>
  <si>
    <t>SSP5_Total Cost_ST_conf</t>
  </si>
  <si>
    <t>SSP5_Total Cost_Interaction</t>
  </si>
  <si>
    <t>SSP5_Total Mitigation_S1</t>
  </si>
  <si>
    <t>SSP5_Total Mitigation_S1_conf</t>
  </si>
  <si>
    <t>SSP5_Total Mitigation_ST</t>
  </si>
  <si>
    <t>SSP5_Total Mitigation_ST_conf</t>
  </si>
  <si>
    <t>SSP5_Total Mitigation_Interaction</t>
  </si>
  <si>
    <t>SSP5_Total Removal_S1</t>
  </si>
  <si>
    <t>SSP5_Total Removal_S1_conf</t>
  </si>
  <si>
    <t>SSP5_Total Removal_ST</t>
  </si>
  <si>
    <t>SSP5_Total Removal_ST_conf</t>
  </si>
  <si>
    <t>SSP5_Total Removal_Interaction</t>
  </si>
  <si>
    <t>TCRE</t>
  </si>
  <si>
    <t>Economic damage coefficient (per Â°C)</t>
  </si>
  <si>
    <t>Discount rate</t>
  </si>
  <si>
    <t>Mitigation cost (1st Gt COâ‚‚)</t>
  </si>
  <si>
    <t>CDR cost (1st Gt COâ‚‚)</t>
  </si>
  <si>
    <t>Mitigation cost (50th Gt COâ‚‚)</t>
  </si>
  <si>
    <t>CDR cost (50th Gt COâ‚‚)</t>
  </si>
  <si>
    <t>Parameter</t>
  </si>
  <si>
    <t>SSP</t>
  </si>
  <si>
    <t>Total Cost</t>
  </si>
  <si>
    <t>SSP1</t>
  </si>
  <si>
    <t>SSP2</t>
  </si>
  <si>
    <t>SSP3</t>
  </si>
  <si>
    <t>SSP4</t>
  </si>
  <si>
    <t>SSP5</t>
  </si>
  <si>
    <t>S1</t>
  </si>
  <si>
    <t>ST</t>
  </si>
  <si>
    <t>±</t>
  </si>
  <si>
    <t>0.005 ± 0.002</t>
  </si>
  <si>
    <t>0.009 ± 0.000</t>
  </si>
  <si>
    <t>0.011 ± 0.003</t>
  </si>
  <si>
    <t>0.021 ± 0.001</t>
  </si>
  <si>
    <t>0.006 ± 0.002</t>
  </si>
  <si>
    <t>0.014 ± 0.001</t>
  </si>
  <si>
    <t>0.013 ± 0.000</t>
  </si>
  <si>
    <t>0.013 ± 0.003</t>
  </si>
  <si>
    <t>0.027 ± 0.001</t>
  </si>
  <si>
    <t>0.496 ± 0.014</t>
  </si>
  <si>
    <t>0.599 ± 0.014</t>
  </si>
  <si>
    <t>0.494 ± 0.014</t>
  </si>
  <si>
    <t>0.582 ± 0.014</t>
  </si>
  <si>
    <t>0.555 ± 0.014</t>
  </si>
  <si>
    <t>0.622 ± 0.014</t>
  </si>
  <si>
    <t>0.532 ± 0.014</t>
  </si>
  <si>
    <t>0.620 ± 0.014</t>
  </si>
  <si>
    <t>0.403 ± 0.013</t>
  </si>
  <si>
    <t>0.502 ± 0.014</t>
  </si>
  <si>
    <t>0.395 ± 0.014</t>
  </si>
  <si>
    <t>0.496 ± 0.013</t>
  </si>
  <si>
    <t>0.400 ± 0.014</t>
  </si>
  <si>
    <t>0.486 ± 0.013</t>
  </si>
  <si>
    <t>0.363 ± 0.013</t>
  </si>
  <si>
    <t>0.427 ± 0.011</t>
  </si>
  <si>
    <t>0.369 ± 0.014</t>
  </si>
  <si>
    <t>0.454 ± 0.012</t>
  </si>
  <si>
    <t>0.452 ± 0.015</t>
  </si>
  <si>
    <t>0.547 ± 0.015</t>
  </si>
  <si>
    <t>0.000 ± 0.000</t>
  </si>
  <si>
    <t>0.001 ± 0.000</t>
  </si>
  <si>
    <t>0.001 ± 0.001</t>
  </si>
  <si>
    <t>0.002 ± 0.001</t>
  </si>
  <si>
    <t>0.002 ± 0.000</t>
  </si>
  <si>
    <t>0.000 ± 0.001</t>
  </si>
  <si>
    <t>0.005 ± 0.000</t>
  </si>
  <si>
    <t>0.004 ± 0.001</t>
  </si>
  <si>
    <t>0.006 ± 0.000</t>
  </si>
  <si>
    <t>0.013 ± 0.004</t>
  </si>
  <si>
    <t>0.035 ± 0.002</t>
  </si>
  <si>
    <t>0.002 ± 0.003</t>
  </si>
  <si>
    <t>0.020 ± 0.002</t>
  </si>
  <si>
    <t>Total Mitigation</t>
  </si>
  <si>
    <t>0.00 ± 0.00</t>
  </si>
  <si>
    <t>0.01 ± 0.00</t>
  </si>
  <si>
    <t>0.02 ± 0.00</t>
  </si>
  <si>
    <t>0.03 ± 0.00</t>
  </si>
  <si>
    <t>0.05 ± 0.00</t>
  </si>
  <si>
    <t>0.03 ± 0.01</t>
  </si>
  <si>
    <t>0.06 ± 0.00</t>
  </si>
  <si>
    <t>0.10 ± 0.01</t>
  </si>
  <si>
    <t>0.14 ± 0.00</t>
  </si>
  <si>
    <t>0.05 ± 0.01</t>
  </si>
  <si>
    <t>0.08 ± 0.00</t>
  </si>
  <si>
    <t>0.15 ± 0.01</t>
  </si>
  <si>
    <t>0.25 ± 0.01</t>
  </si>
  <si>
    <t>0.27 ± 0.01</t>
  </si>
  <si>
    <t>0.49 ± 0.01</t>
  </si>
  <si>
    <t>0.52 ± 0.01</t>
  </si>
  <si>
    <t>0.55 ± 0.01</t>
  </si>
  <si>
    <t>0.57 ± 0.01</t>
  </si>
  <si>
    <t>0.43 ± 0.01</t>
  </si>
  <si>
    <t>0.45 ± 0.01</t>
  </si>
  <si>
    <t>0.46 ± 0.02</t>
  </si>
  <si>
    <t>0.69 ± 0.02</t>
  </si>
  <si>
    <t>0.04 ± 0.00</t>
  </si>
  <si>
    <t>0.02 ± 0.01</t>
  </si>
  <si>
    <t>0.31 ± 0.01</t>
  </si>
  <si>
    <t>0.07 ± 0.00</t>
  </si>
  <si>
    <t>0.08 ± 0.01</t>
  </si>
  <si>
    <t>0.09 ± 0.00</t>
  </si>
  <si>
    <t>0.06 ± 0.01</t>
  </si>
  <si>
    <t>0.62 ± 0.01</t>
  </si>
  <si>
    <t>0.64 ± 0.01</t>
  </si>
  <si>
    <t>0.24 ± 0.01</t>
  </si>
  <si>
    <t>0.26 ± 0.01</t>
  </si>
  <si>
    <t>0.25 ± 0.00</t>
  </si>
  <si>
    <t>0.38 ± 0.01</t>
  </si>
  <si>
    <t>0.39 ± 0.01</t>
  </si>
  <si>
    <t>0.12 ± 0.01</t>
  </si>
  <si>
    <t>0.17 ± 0.01</t>
  </si>
  <si>
    <t>Total Removal</t>
  </si>
  <si>
    <t>0.09 ± 0.01</t>
  </si>
  <si>
    <t>0.13 ± 0.00</t>
  </si>
  <si>
    <t>0.16 ± 0.01</t>
  </si>
  <si>
    <t>0.29 ± 0.01</t>
  </si>
  <si>
    <t>0.58 ± 0.01</t>
  </si>
  <si>
    <t>0.60 ± 0.01</t>
  </si>
  <si>
    <t>0.47 ± 0.01</t>
  </si>
  <si>
    <t>0.73 ± 0.03</t>
  </si>
  <si>
    <t>0.32 ± 0.02</t>
  </si>
  <si>
    <t>0.10 ± 0.00</t>
  </si>
  <si>
    <t>0.56 ± 0.01</t>
  </si>
  <si>
    <t>0.59 ± 0.01</t>
  </si>
  <si>
    <t>0.30 ± 0.01</t>
  </si>
  <si>
    <t>0.20 ± 0.01</t>
  </si>
  <si>
    <t>0.21 ± 0.00</t>
  </si>
  <si>
    <t>0.35 ± 0.01</t>
  </si>
  <si>
    <t>0.36 ± 0.01</t>
  </si>
  <si>
    <t>0.07 ± 0.01</t>
  </si>
  <si>
    <t>0.12 ± 0.00</t>
  </si>
  <si>
    <t>0.50 ± 0.01</t>
  </si>
  <si>
    <t>0.40 ± 0.01</t>
  </si>
  <si>
    <t>0.37 ± 0.01</t>
  </si>
  <si>
    <t>0.53 ± 0.01</t>
  </si>
  <si>
    <t>Economic damage coefficient</t>
  </si>
  <si>
    <t>CDR cost (1st Gt CO2)</t>
  </si>
  <si>
    <t>CDR cost (50th Gt CO2)</t>
  </si>
  <si>
    <t>Mitigation cost (1st Gt CO2)</t>
  </si>
  <si>
    <t>Mitigation cost (50th Gt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</si>
</sst>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/>
    <xf numFmtId="0" fontId="0" fillId="0" borderId="0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1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0" fillId="33" borderId="11" xfId="0" applyFill="1" applyBorder="1"/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0" borderId="19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3BE8-8CCE-4A3A-A972-4E0849DC4924}">
  <dimension ref="A1:BY57"/>
  <sheetViews>
    <sheetView workbookViewId="0">
      <pane ySplit="1" topLeftCell="A20" activePane="bottomLeft" state="frozen"/>
      <selection pane="bottomLeft" activeCell="B27" sqref="B27:L57"/>
    </sheetView>
  </sheetViews>
  <sheetFormatPr defaultRowHeight="14.5" x14ac:dyDescent="0.35"/>
  <cols>
    <col min="1" max="1" width="9.26953125" bestFit="1" customWidth="1"/>
    <col min="2" max="2" width="34.1796875" bestFit="1" customWidth="1"/>
    <col min="3" max="12" width="13.08984375" customWidth="1"/>
    <col min="13" max="62" width="8.7265625" hidden="1" customWidth="1"/>
    <col min="63" max="72" width="8.7265625" customWidth="1"/>
  </cols>
  <sheetData>
    <row r="1" spans="1:77" s="19" customFormat="1" ht="72.5" x14ac:dyDescent="0.35">
      <c r="B1" s="19" t="s">
        <v>82</v>
      </c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9" t="s">
        <v>18</v>
      </c>
      <c r="V1" s="19" t="s">
        <v>19</v>
      </c>
      <c r="W1" s="19" t="s">
        <v>20</v>
      </c>
      <c r="X1" s="19" t="s">
        <v>21</v>
      </c>
      <c r="Y1" s="19" t="s">
        <v>22</v>
      </c>
      <c r="Z1" s="19" t="s">
        <v>23</v>
      </c>
      <c r="AA1" s="19" t="s">
        <v>24</v>
      </c>
      <c r="AB1" s="19" t="s">
        <v>25</v>
      </c>
      <c r="AC1" s="19" t="s">
        <v>26</v>
      </c>
      <c r="AD1" s="19" t="s">
        <v>27</v>
      </c>
      <c r="AE1" s="19" t="s">
        <v>28</v>
      </c>
      <c r="AF1" s="19" t="s">
        <v>29</v>
      </c>
      <c r="AG1" s="19" t="s">
        <v>30</v>
      </c>
      <c r="AH1" s="19" t="s">
        <v>31</v>
      </c>
      <c r="AI1" s="19" t="s">
        <v>32</v>
      </c>
      <c r="AJ1" s="19" t="s">
        <v>33</v>
      </c>
      <c r="AK1" s="19" t="s">
        <v>34</v>
      </c>
      <c r="AL1" s="19" t="s">
        <v>35</v>
      </c>
      <c r="AM1" s="19" t="s">
        <v>36</v>
      </c>
      <c r="AN1" s="19" t="s">
        <v>37</v>
      </c>
      <c r="AO1" s="19" t="s">
        <v>38</v>
      </c>
      <c r="AP1" s="19" t="s">
        <v>39</v>
      </c>
      <c r="AQ1" s="19" t="s">
        <v>40</v>
      </c>
      <c r="AR1" s="19" t="s">
        <v>41</v>
      </c>
      <c r="AS1" s="19" t="s">
        <v>42</v>
      </c>
      <c r="AT1" s="19" t="s">
        <v>43</v>
      </c>
      <c r="AU1" s="19" t="s">
        <v>44</v>
      </c>
      <c r="AV1" s="19" t="s">
        <v>45</v>
      </c>
      <c r="AW1" s="19" t="s">
        <v>46</v>
      </c>
      <c r="AX1" s="19" t="s">
        <v>47</v>
      </c>
      <c r="AY1" s="19" t="s">
        <v>48</v>
      </c>
      <c r="AZ1" s="19" t="s">
        <v>49</v>
      </c>
      <c r="BA1" s="19" t="s">
        <v>50</v>
      </c>
      <c r="BB1" s="19" t="s">
        <v>51</v>
      </c>
      <c r="BC1" s="19" t="s">
        <v>52</v>
      </c>
      <c r="BD1" s="19" t="s">
        <v>53</v>
      </c>
      <c r="BE1" s="19" t="s">
        <v>54</v>
      </c>
      <c r="BF1" s="19" t="s">
        <v>55</v>
      </c>
      <c r="BG1" s="19" t="s">
        <v>56</v>
      </c>
      <c r="BH1" s="19" t="s">
        <v>57</v>
      </c>
      <c r="BI1" s="19" t="s">
        <v>58</v>
      </c>
      <c r="BJ1" s="19" t="s">
        <v>59</v>
      </c>
      <c r="BK1" s="19" t="s">
        <v>60</v>
      </c>
      <c r="BL1" s="19" t="s">
        <v>61</v>
      </c>
      <c r="BM1" s="19" t="s">
        <v>62</v>
      </c>
      <c r="BN1" s="19" t="s">
        <v>63</v>
      </c>
      <c r="BO1" s="19" t="s">
        <v>64</v>
      </c>
      <c r="BP1" s="19" t="s">
        <v>65</v>
      </c>
      <c r="BQ1" s="19" t="s">
        <v>66</v>
      </c>
      <c r="BR1" s="19" t="s">
        <v>67</v>
      </c>
      <c r="BS1" s="19" t="s">
        <v>68</v>
      </c>
      <c r="BT1" s="19" t="s">
        <v>69</v>
      </c>
      <c r="BU1" s="19" t="s">
        <v>70</v>
      </c>
      <c r="BV1" s="19" t="s">
        <v>71</v>
      </c>
      <c r="BW1" s="19" t="s">
        <v>72</v>
      </c>
      <c r="BX1" s="19" t="s">
        <v>73</v>
      </c>
      <c r="BY1" s="19" t="s">
        <v>74</v>
      </c>
    </row>
    <row r="2" spans="1:77" x14ac:dyDescent="0.35">
      <c r="B2" t="s">
        <v>77</v>
      </c>
      <c r="C2" s="1">
        <v>0.39451983052824502</v>
      </c>
      <c r="D2" s="1">
        <v>1.4392991585116401E-2</v>
      </c>
      <c r="E2" s="1">
        <v>0.49557810018459603</v>
      </c>
      <c r="F2" s="1">
        <v>1.27500679289084E-2</v>
      </c>
      <c r="G2" s="1">
        <v>0.10105826965634999</v>
      </c>
      <c r="H2" s="1">
        <v>2.86350906316155E-3</v>
      </c>
      <c r="I2" s="1">
        <v>1.2520087641465099E-3</v>
      </c>
      <c r="J2" s="1">
        <v>5.5261493399204296E-3</v>
      </c>
      <c r="K2" s="1">
        <v>1.9290788907286901E-4</v>
      </c>
      <c r="L2" s="1">
        <v>2.6626402767588701E-3</v>
      </c>
      <c r="M2" s="1">
        <v>3.2607767411552101E-3</v>
      </c>
      <c r="N2" s="1">
        <v>1.6508773480956699E-3</v>
      </c>
      <c r="O2" s="1">
        <v>6.1730100510121403E-3</v>
      </c>
      <c r="P2" s="1">
        <v>2.39436974155061E-4</v>
      </c>
      <c r="Q2" s="1">
        <v>2.9122333098569298E-3</v>
      </c>
      <c r="R2" s="1">
        <v>0.40041048590572098</v>
      </c>
      <c r="S2" s="1">
        <v>1.40161655154662E-2</v>
      </c>
      <c r="T2" s="1">
        <v>0.48624641928668799</v>
      </c>
      <c r="U2" s="1">
        <v>1.2725546239937499E-2</v>
      </c>
      <c r="V2" s="1">
        <v>8.5835933380967205E-2</v>
      </c>
      <c r="W2" s="1">
        <v>1.7335767844158499E-2</v>
      </c>
      <c r="X2" s="1">
        <v>2.9275929336460399E-3</v>
      </c>
      <c r="Y2" s="1">
        <v>2.62444586639594E-2</v>
      </c>
      <c r="Z2" s="1">
        <v>7.9661646469309704E-4</v>
      </c>
      <c r="AA2" s="1">
        <v>8.9086908198008803E-3</v>
      </c>
      <c r="AB2" s="1">
        <v>1.5930315223394099E-2</v>
      </c>
      <c r="AC2" s="1">
        <v>3.4384120327042599E-3</v>
      </c>
      <c r="AD2" s="1">
        <v>2.47620768820224E-2</v>
      </c>
      <c r="AE2" s="1">
        <v>8.0223858786369602E-4</v>
      </c>
      <c r="AF2" s="1">
        <v>8.8317616586283208E-3</v>
      </c>
      <c r="AG2" s="1">
        <v>0.36284693990948902</v>
      </c>
      <c r="AH2" s="1">
        <v>1.2838539287740701E-2</v>
      </c>
      <c r="AI2" s="1">
        <v>0.42682783109754502</v>
      </c>
      <c r="AJ2" s="1">
        <v>1.0761835990724E-2</v>
      </c>
      <c r="AK2" s="1">
        <v>6.3980891188056194E-2</v>
      </c>
      <c r="AL2" s="1">
        <v>6.8606481360005403E-3</v>
      </c>
      <c r="AM2" s="1">
        <v>2.10102528793599E-3</v>
      </c>
      <c r="AN2" s="1">
        <v>1.45749155194995E-2</v>
      </c>
      <c r="AO2" s="1">
        <v>5.70291680907701E-4</v>
      </c>
      <c r="AP2" s="1">
        <v>7.7142673834990202E-3</v>
      </c>
      <c r="AQ2" s="1">
        <v>7.0876158041869803E-3</v>
      </c>
      <c r="AR2" s="1">
        <v>2.6218745898979501E-3</v>
      </c>
      <c r="AS2" s="1">
        <v>1.46024015479459E-2</v>
      </c>
      <c r="AT2" s="1">
        <v>5.9405598216138403E-4</v>
      </c>
      <c r="AU2" s="1">
        <v>7.5147857437589801E-3</v>
      </c>
      <c r="AV2" s="1">
        <v>0.36947058805602001</v>
      </c>
      <c r="AW2" s="1">
        <v>1.35467885897636E-2</v>
      </c>
      <c r="AX2" s="1">
        <v>0.45436969678684802</v>
      </c>
      <c r="AY2" s="1">
        <v>1.16924885988481E-2</v>
      </c>
      <c r="AZ2" s="1">
        <v>8.4899108730827705E-2</v>
      </c>
      <c r="BA2" s="1">
        <v>7.2654093896484901E-3</v>
      </c>
      <c r="BB2" s="1">
        <v>1.86859368381562E-3</v>
      </c>
      <c r="BC2" s="1">
        <v>1.2844824981883499E-2</v>
      </c>
      <c r="BD2" s="1">
        <v>4.3804134948643102E-4</v>
      </c>
      <c r="BE2" s="1">
        <v>5.5794155922350404E-3</v>
      </c>
      <c r="BF2" s="1">
        <v>7.54619149559834E-3</v>
      </c>
      <c r="BG2" s="1">
        <v>2.46969416327448E-3</v>
      </c>
      <c r="BH2" s="1">
        <v>1.3251248831501699E-2</v>
      </c>
      <c r="BI2" s="1">
        <v>4.8905201012379104E-4</v>
      </c>
      <c r="BJ2" s="1">
        <v>5.7050573359033897E-3</v>
      </c>
      <c r="BK2" s="1">
        <v>0.451951877379764</v>
      </c>
      <c r="BL2" s="1">
        <v>1.4569262152473301E-2</v>
      </c>
      <c r="BM2" s="1">
        <v>0.54738649223627101</v>
      </c>
      <c r="BN2" s="1">
        <v>1.4506255383444E-2</v>
      </c>
      <c r="BO2" s="1">
        <v>9.5434614856506603E-2</v>
      </c>
      <c r="BP2" s="1">
        <v>5.0488331821039499E-3</v>
      </c>
      <c r="BQ2" s="1">
        <v>4.5631974788275104E-3</v>
      </c>
      <c r="BR2" s="1">
        <v>5.1283684242378703E-2</v>
      </c>
      <c r="BS2" s="1">
        <v>2.7470971563929602E-3</v>
      </c>
      <c r="BT2" s="1">
        <v>4.6234851060274702E-2</v>
      </c>
      <c r="BU2" s="1">
        <v>5.5272073403442399E-3</v>
      </c>
      <c r="BV2" s="1">
        <v>4.5551971161897501E-3</v>
      </c>
      <c r="BW2" s="1">
        <v>5.3426212800489002E-2</v>
      </c>
      <c r="BX2" s="1">
        <v>2.63734557398305E-3</v>
      </c>
      <c r="BY2" s="1">
        <v>4.7899005460144702E-2</v>
      </c>
    </row>
    <row r="3" spans="1:77" x14ac:dyDescent="0.35">
      <c r="B3" t="s">
        <v>76</v>
      </c>
      <c r="C3" s="1">
        <v>0.49634839947421999</v>
      </c>
      <c r="D3" s="1">
        <v>1.36382936282905E-2</v>
      </c>
      <c r="E3" s="1">
        <v>0.59901100654571604</v>
      </c>
      <c r="F3" s="1">
        <v>1.4269153447933501E-2</v>
      </c>
      <c r="G3" s="1">
        <v>0.10266260707149499</v>
      </c>
      <c r="H3" s="1">
        <v>3.3658841103680302E-2</v>
      </c>
      <c r="I3" s="1">
        <v>5.0435234679693996E-3</v>
      </c>
      <c r="J3" s="1">
        <v>6.4447075282633395E-2</v>
      </c>
      <c r="K3" s="1">
        <v>1.8520686663708499E-3</v>
      </c>
      <c r="L3" s="1">
        <v>3.0788234178952999E-2</v>
      </c>
      <c r="M3" s="1">
        <v>4.0386198192599802E-2</v>
      </c>
      <c r="N3" s="1">
        <v>4.5158254224117404E-3</v>
      </c>
      <c r="O3" s="1">
        <v>7.4151192386411297E-2</v>
      </c>
      <c r="P3" s="1">
        <v>2.3473354866780701E-3</v>
      </c>
      <c r="Q3" s="1">
        <v>3.3764994193811397E-2</v>
      </c>
      <c r="R3" s="1">
        <v>0.493505833186276</v>
      </c>
      <c r="S3" s="1">
        <v>1.35801564647378E-2</v>
      </c>
      <c r="T3" s="1">
        <v>0.58190668393526801</v>
      </c>
      <c r="U3" s="1">
        <v>1.3557160614572201E-2</v>
      </c>
      <c r="V3" s="1">
        <v>8.8400850748991594E-2</v>
      </c>
      <c r="W3" s="1">
        <v>9.5367804211749493E-2</v>
      </c>
      <c r="X3" s="1">
        <v>7.1797772213799396E-3</v>
      </c>
      <c r="Y3" s="1">
        <v>0.140320134401418</v>
      </c>
      <c r="Z3" s="1">
        <v>3.56656504262436E-3</v>
      </c>
      <c r="AA3" s="1">
        <v>4.4952330189668599E-2</v>
      </c>
      <c r="AB3" s="1">
        <v>8.8074679974208106E-2</v>
      </c>
      <c r="AC3" s="1">
        <v>6.1338602976092104E-3</v>
      </c>
      <c r="AD3" s="1">
        <v>0.132677883999719</v>
      </c>
      <c r="AE3" s="1">
        <v>3.5149492028061602E-3</v>
      </c>
      <c r="AF3" s="1">
        <v>4.46032040255116E-2</v>
      </c>
      <c r="AG3" s="1">
        <v>0.55519273924292301</v>
      </c>
      <c r="AH3" s="1">
        <v>1.42762873432553E-2</v>
      </c>
      <c r="AI3" s="1">
        <v>0.62232544299675197</v>
      </c>
      <c r="AJ3" s="1">
        <v>1.3604238884273E-2</v>
      </c>
      <c r="AK3" s="1">
        <v>6.7132703753828293E-2</v>
      </c>
      <c r="AL3" s="1">
        <v>2.6588632685450399E-2</v>
      </c>
      <c r="AM3" s="1">
        <v>4.5663418347892601E-3</v>
      </c>
      <c r="AN3" s="1">
        <v>5.18963466042087E-2</v>
      </c>
      <c r="AO3" s="1">
        <v>1.53162317808102E-3</v>
      </c>
      <c r="AP3" s="1">
        <v>2.5307713918758201E-2</v>
      </c>
      <c r="AQ3" s="1">
        <v>2.72271945441067E-2</v>
      </c>
      <c r="AR3" s="1">
        <v>4.03835238011707E-3</v>
      </c>
      <c r="AS3" s="1">
        <v>5.3643434364142199E-2</v>
      </c>
      <c r="AT3" s="1">
        <v>1.6983864976103599E-3</v>
      </c>
      <c r="AU3" s="1">
        <v>2.6416239820035499E-2</v>
      </c>
      <c r="AV3" s="1">
        <v>0.53240062852609904</v>
      </c>
      <c r="AW3" s="1">
        <v>1.4095851590847801E-2</v>
      </c>
      <c r="AX3" s="1">
        <v>0.61986035396067396</v>
      </c>
      <c r="AY3" s="1">
        <v>1.40912810684653E-2</v>
      </c>
      <c r="AZ3" s="1">
        <v>8.7459725434574406E-2</v>
      </c>
      <c r="BA3" s="1">
        <v>4.6226684846766501E-2</v>
      </c>
      <c r="BB3" s="1">
        <v>5.7606162555827499E-3</v>
      </c>
      <c r="BC3" s="1">
        <v>8.0822959249835499E-2</v>
      </c>
      <c r="BD3" s="1">
        <v>2.2598293347925102E-3</v>
      </c>
      <c r="BE3" s="1">
        <v>3.4596274403068998E-2</v>
      </c>
      <c r="BF3" s="1">
        <v>4.8173495252786101E-2</v>
      </c>
      <c r="BG3" s="1">
        <v>4.7830524044224602E-3</v>
      </c>
      <c r="BH3" s="1">
        <v>8.4152754330291901E-2</v>
      </c>
      <c r="BI3" s="1">
        <v>2.5598466746189598E-3</v>
      </c>
      <c r="BJ3" s="1">
        <v>3.5979259077505703E-2</v>
      </c>
      <c r="BK3" s="1">
        <v>0.40274253710896801</v>
      </c>
      <c r="BL3" s="1">
        <v>1.2947392745679499E-2</v>
      </c>
      <c r="BM3" s="1">
        <v>0.50196676397117701</v>
      </c>
      <c r="BN3" s="1">
        <v>1.36848111313531E-2</v>
      </c>
      <c r="BO3" s="1">
        <v>9.9224226862208706E-2</v>
      </c>
      <c r="BP3" s="1">
        <v>2.64464065781541E-2</v>
      </c>
      <c r="BQ3" s="1">
        <v>7.7778641437891999E-3</v>
      </c>
      <c r="BR3" s="1">
        <v>0.152489357255402</v>
      </c>
      <c r="BS3" s="1">
        <v>6.5044361345672399E-3</v>
      </c>
      <c r="BT3" s="1">
        <v>0.12604295067724799</v>
      </c>
      <c r="BU3" s="1">
        <v>2.6465860752950598E-2</v>
      </c>
      <c r="BV3" s="1">
        <v>7.9705251155760392E-3</v>
      </c>
      <c r="BW3" s="1">
        <v>0.15658843714693599</v>
      </c>
      <c r="BX3" s="1">
        <v>6.5941463045766403E-3</v>
      </c>
      <c r="BY3" s="1">
        <v>0.130122576393985</v>
      </c>
    </row>
    <row r="4" spans="1:77" x14ac:dyDescent="0.35">
      <c r="B4" t="s">
        <v>79</v>
      </c>
      <c r="C4" s="1">
        <v>2.3867793518850101E-4</v>
      </c>
      <c r="D4" s="1">
        <v>4.7391787686557703E-4</v>
      </c>
      <c r="E4" s="1">
        <v>7.4872127450694304E-4</v>
      </c>
      <c r="F4" s="1">
        <v>2.5847288707941399E-5</v>
      </c>
      <c r="G4" s="1">
        <v>5.1004333931844103E-4</v>
      </c>
      <c r="H4" s="1">
        <v>0.25268636442632098</v>
      </c>
      <c r="I4" s="1">
        <v>8.4425114816442295E-3</v>
      </c>
      <c r="J4" s="1">
        <v>0.26874462880447397</v>
      </c>
      <c r="K4" s="1">
        <v>5.7125618523262804E-3</v>
      </c>
      <c r="L4" s="1">
        <v>1.6058264378153199E-2</v>
      </c>
      <c r="M4" s="1">
        <v>0.28944888377776901</v>
      </c>
      <c r="N4" s="1">
        <v>9.3724519855456906E-3</v>
      </c>
      <c r="O4" s="1">
        <v>0.30889118931821302</v>
      </c>
      <c r="P4" s="1">
        <v>6.7326280396931004E-3</v>
      </c>
      <c r="Q4" s="1">
        <v>1.9442305540443499E-2</v>
      </c>
      <c r="R4" s="1">
        <v>2.2826738572735198E-3</v>
      </c>
      <c r="S4" s="1">
        <v>1.1984500037318501E-3</v>
      </c>
      <c r="T4" s="1">
        <v>4.7309690070295998E-3</v>
      </c>
      <c r="U4" s="1">
        <v>2.08682100610628E-4</v>
      </c>
      <c r="V4" s="1">
        <v>2.44829514975607E-3</v>
      </c>
      <c r="W4" s="1">
        <v>0.487256620845745</v>
      </c>
      <c r="X4" s="1">
        <v>1.14615221193833E-2</v>
      </c>
      <c r="Y4" s="1">
        <v>0.52036047434772004</v>
      </c>
      <c r="Z4" s="1">
        <v>1.0582166282507501E-2</v>
      </c>
      <c r="AA4" s="1">
        <v>3.3103853501974798E-2</v>
      </c>
      <c r="AB4" s="1">
        <v>0.45445634670132901</v>
      </c>
      <c r="AC4" s="1">
        <v>1.1080727120620901E-2</v>
      </c>
      <c r="AD4" s="1">
        <v>0.48598939940501101</v>
      </c>
      <c r="AE4" s="1">
        <v>1.00957384783969E-2</v>
      </c>
      <c r="AF4" s="1">
        <v>3.1533052703682597E-2</v>
      </c>
      <c r="AG4" s="1">
        <v>4.3539221986339301E-3</v>
      </c>
      <c r="AH4" s="1">
        <v>1.47276596111488E-3</v>
      </c>
      <c r="AI4" s="1">
        <v>6.2728685857891603E-3</v>
      </c>
      <c r="AJ4" s="1">
        <v>1.82834781578464E-4</v>
      </c>
      <c r="AK4" s="1">
        <v>1.9189463871552299E-3</v>
      </c>
      <c r="AL4" s="1">
        <v>0.54695079013881898</v>
      </c>
      <c r="AM4" s="1">
        <v>1.1546357113784199E-2</v>
      </c>
      <c r="AN4" s="1">
        <v>0.56739974128901305</v>
      </c>
      <c r="AO4" s="1">
        <v>1.0858779002368099E-2</v>
      </c>
      <c r="AP4" s="1">
        <v>2.0448951150193601E-2</v>
      </c>
      <c r="AQ4" s="1">
        <v>0.57661058444279001</v>
      </c>
      <c r="AR4" s="1">
        <v>1.2448410918320701E-2</v>
      </c>
      <c r="AS4" s="1">
        <v>0.59820162903893503</v>
      </c>
      <c r="AT4" s="1">
        <v>1.11108324429332E-2</v>
      </c>
      <c r="AU4" s="1">
        <v>2.1591044596144499E-2</v>
      </c>
      <c r="AV4" s="1">
        <v>9.9655549834573197E-4</v>
      </c>
      <c r="AW4" s="1">
        <v>8.02965725878522E-4</v>
      </c>
      <c r="AX4" s="1">
        <v>2.1620663983615502E-3</v>
      </c>
      <c r="AY4" s="1">
        <v>6.5845315222060196E-5</v>
      </c>
      <c r="AZ4" s="1">
        <v>1.1655109000158199E-3</v>
      </c>
      <c r="BA4" s="1">
        <v>0.42702640558240701</v>
      </c>
      <c r="BB4" s="1">
        <v>1.0545910020681301E-2</v>
      </c>
      <c r="BC4" s="1">
        <v>0.449094064611193</v>
      </c>
      <c r="BD4" s="1">
        <v>9.1265194484222208E-3</v>
      </c>
      <c r="BE4" s="1">
        <v>2.2067659028785599E-2</v>
      </c>
      <c r="BF4" s="1">
        <v>0.45126669074507297</v>
      </c>
      <c r="BG4" s="1">
        <v>1.1240527943879201E-2</v>
      </c>
      <c r="BH4" s="1">
        <v>0.47464089894175598</v>
      </c>
      <c r="BI4" s="1">
        <v>9.7111141751423501E-3</v>
      </c>
      <c r="BJ4" s="1">
        <v>2.33742081966829E-2</v>
      </c>
      <c r="BK4" s="1">
        <v>1.28100599871855E-2</v>
      </c>
      <c r="BL4" s="1">
        <v>4.2738730849334102E-3</v>
      </c>
      <c r="BM4" s="1">
        <v>3.5217234043843998E-2</v>
      </c>
      <c r="BN4" s="1">
        <v>2.10582933459542E-3</v>
      </c>
      <c r="BO4" s="1">
        <v>2.2407174056658499E-2</v>
      </c>
      <c r="BP4" s="1">
        <v>0.45926750637298902</v>
      </c>
      <c r="BQ4" s="1">
        <v>1.54069366599844E-2</v>
      </c>
      <c r="BR4" s="1">
        <v>0.68819244037521798</v>
      </c>
      <c r="BS4" s="1">
        <v>2.4982561269701501E-2</v>
      </c>
      <c r="BT4" s="1">
        <v>0.22892493400222899</v>
      </c>
      <c r="BU4" s="1">
        <v>0.49301257204674198</v>
      </c>
      <c r="BV4" s="1">
        <v>1.40794436120834E-2</v>
      </c>
      <c r="BW4" s="1">
        <v>0.72796686119578802</v>
      </c>
      <c r="BX4" s="1">
        <v>2.61818060783621E-2</v>
      </c>
      <c r="BY4" s="1">
        <v>0.23495428914904601</v>
      </c>
    </row>
    <row r="5" spans="1:77" x14ac:dyDescent="0.35">
      <c r="B5" t="s">
        <v>81</v>
      </c>
      <c r="C5" s="1">
        <v>8.6629840401614805E-6</v>
      </c>
      <c r="D5" s="1">
        <v>3.9154221192772698E-4</v>
      </c>
      <c r="E5" s="1">
        <v>3.2710394038539198E-4</v>
      </c>
      <c r="F5" s="1">
        <v>1.01188749779841E-5</v>
      </c>
      <c r="G5" s="1">
        <v>3.18440956345231E-4</v>
      </c>
      <c r="H5" s="1">
        <v>8.7058027762336593E-3</v>
      </c>
      <c r="I5" s="1">
        <v>2.1107578717563902E-3</v>
      </c>
      <c r="J5" s="1">
        <v>1.2762102844416799E-2</v>
      </c>
      <c r="K5" s="1">
        <v>3.9817972008557501E-4</v>
      </c>
      <c r="L5" s="1">
        <v>4.0563000681831602E-3</v>
      </c>
      <c r="M5" s="1">
        <v>9.8565752217909391E-3</v>
      </c>
      <c r="N5" s="1">
        <v>2.13871355094386E-3</v>
      </c>
      <c r="O5" s="1">
        <v>1.42215369376035E-2</v>
      </c>
      <c r="P5" s="1">
        <v>4.0335218475525601E-4</v>
      </c>
      <c r="Q5" s="1">
        <v>4.3649617158125903E-3</v>
      </c>
      <c r="R5" s="1">
        <v>3.7871305464405499E-4</v>
      </c>
      <c r="S5" s="1">
        <v>5.3810929895385098E-4</v>
      </c>
      <c r="T5" s="1">
        <v>7.33645939610141E-4</v>
      </c>
      <c r="U5" s="1">
        <v>8.9991121970506706E-5</v>
      </c>
      <c r="V5" s="1">
        <v>3.5493288496608497E-4</v>
      </c>
      <c r="W5" s="1">
        <v>2.8589208348975E-2</v>
      </c>
      <c r="X5" s="1">
        <v>4.2069184711314902E-3</v>
      </c>
      <c r="Y5" s="1">
        <v>4.4903494213101802E-2</v>
      </c>
      <c r="Z5" s="1">
        <v>1.8026006775435199E-3</v>
      </c>
      <c r="AA5" s="1">
        <v>1.6314285864126699E-2</v>
      </c>
      <c r="AB5" s="1">
        <v>2.62843379646687E-2</v>
      </c>
      <c r="AC5" s="1">
        <v>3.9912689531050203E-3</v>
      </c>
      <c r="AD5" s="1">
        <v>4.2501848760441101E-2</v>
      </c>
      <c r="AE5" s="1">
        <v>1.7597481133430799E-3</v>
      </c>
      <c r="AF5" s="1">
        <v>1.62175107957723E-2</v>
      </c>
      <c r="AG5" s="1">
        <v>2.06530010662085E-4</v>
      </c>
      <c r="AH5" s="1">
        <v>4.3256180467313702E-4</v>
      </c>
      <c r="AI5" s="1">
        <v>4.6362835968508299E-4</v>
      </c>
      <c r="AJ5" s="1">
        <v>1.8943141294543799E-5</v>
      </c>
      <c r="AK5" s="1">
        <v>2.5709834902299799E-4</v>
      </c>
      <c r="AL5" s="1">
        <v>3.1988553076023503E-2</v>
      </c>
      <c r="AM5" s="1">
        <v>3.8178558466285401E-3</v>
      </c>
      <c r="AN5" s="1">
        <v>4.0244562486911897E-2</v>
      </c>
      <c r="AO5" s="1">
        <v>1.1274739012202199E-3</v>
      </c>
      <c r="AP5" s="1">
        <v>8.25600941088841E-3</v>
      </c>
      <c r="AQ5" s="1">
        <v>3.3270082549112297E-2</v>
      </c>
      <c r="AR5" s="1">
        <v>3.9838540184208302E-3</v>
      </c>
      <c r="AS5" s="1">
        <v>4.2519327952082603E-2</v>
      </c>
      <c r="AT5" s="1">
        <v>1.19742752148201E-3</v>
      </c>
      <c r="AU5" s="1">
        <v>9.2492454029702801E-3</v>
      </c>
      <c r="AV5" s="1">
        <v>-3.1020393827501302E-4</v>
      </c>
      <c r="AW5" s="1">
        <v>3.1187285457361699E-4</v>
      </c>
      <c r="AX5" s="1">
        <v>2.63437023149005E-4</v>
      </c>
      <c r="AY5" s="1">
        <v>9.6339623960644499E-6</v>
      </c>
      <c r="AZ5" s="1">
        <v>5.73640961424019E-4</v>
      </c>
      <c r="BA5" s="1">
        <v>1.9788695182736502E-2</v>
      </c>
      <c r="BB5" s="1">
        <v>3.03043308631028E-3</v>
      </c>
      <c r="BC5" s="1">
        <v>2.6352604469481299E-2</v>
      </c>
      <c r="BD5" s="1">
        <v>7.7087650103933002E-4</v>
      </c>
      <c r="BE5" s="1">
        <v>6.56390928674477E-3</v>
      </c>
      <c r="BF5" s="1">
        <v>2.0902843599476702E-2</v>
      </c>
      <c r="BG5" s="1">
        <v>3.15161776737453E-3</v>
      </c>
      <c r="BH5" s="1">
        <v>2.7725185514033301E-2</v>
      </c>
      <c r="BI5" s="1">
        <v>7.7180162577688703E-4</v>
      </c>
      <c r="BJ5" s="1">
        <v>6.8223419145566396E-3</v>
      </c>
      <c r="BK5" s="1">
        <v>2.01243772699446E-3</v>
      </c>
      <c r="BL5" s="1">
        <v>2.50106890347193E-3</v>
      </c>
      <c r="BM5" s="1">
        <v>1.9987755333108901E-2</v>
      </c>
      <c r="BN5" s="1">
        <v>1.6717590825699299E-3</v>
      </c>
      <c r="BO5" s="1">
        <v>1.7975317606114399E-2</v>
      </c>
      <c r="BP5" s="1">
        <v>2.1359996013533E-2</v>
      </c>
      <c r="BQ5" s="1">
        <v>1.2243847573625399E-2</v>
      </c>
      <c r="BR5" s="1">
        <v>0.309543590040598</v>
      </c>
      <c r="BS5" s="1">
        <v>1.49558141692914E-2</v>
      </c>
      <c r="BT5" s="1">
        <v>0.288183594027065</v>
      </c>
      <c r="BU5" s="1">
        <v>2.4216599904034099E-2</v>
      </c>
      <c r="BV5" s="1">
        <v>1.40253414556866E-2</v>
      </c>
      <c r="BW5" s="1">
        <v>0.32391020653089198</v>
      </c>
      <c r="BX5" s="1">
        <v>1.5337237090125201E-2</v>
      </c>
      <c r="BY5" s="1">
        <v>0.29969360662685801</v>
      </c>
    </row>
    <row r="6" spans="1:77" x14ac:dyDescent="0.35">
      <c r="B6" t="s">
        <v>78</v>
      </c>
      <c r="C6" s="1">
        <v>2.2502648909414899E-4</v>
      </c>
      <c r="D6" s="1">
        <v>4.1612286460643099E-4</v>
      </c>
      <c r="E6" s="1">
        <v>6.3077500263036595E-4</v>
      </c>
      <c r="F6" s="1">
        <v>2.1240182101937099E-5</v>
      </c>
      <c r="G6" s="1">
        <v>4.0574851353621598E-4</v>
      </c>
      <c r="H6" s="1">
        <v>3.6960237264112197E-2</v>
      </c>
      <c r="I6" s="1">
        <v>4.4035622885393103E-3</v>
      </c>
      <c r="J6" s="1">
        <v>4.4735559426117601E-2</v>
      </c>
      <c r="K6" s="1">
        <v>1.1984216382766499E-3</v>
      </c>
      <c r="L6" s="1">
        <v>7.7753221620054302E-3</v>
      </c>
      <c r="M6" s="1">
        <v>4.2427248979807299E-2</v>
      </c>
      <c r="N6" s="1">
        <v>4.5305170086287804E-3</v>
      </c>
      <c r="O6" s="1">
        <v>5.1606997742960702E-2</v>
      </c>
      <c r="P6" s="1">
        <v>1.4431401392669199E-3</v>
      </c>
      <c r="Q6" s="1">
        <v>9.1797487631533302E-3</v>
      </c>
      <c r="R6" s="1">
        <v>6.9385965063446602E-4</v>
      </c>
      <c r="S6" s="1">
        <v>5.6474008716397698E-4</v>
      </c>
      <c r="T6" s="1">
        <v>1.29116178845112E-3</v>
      </c>
      <c r="U6" s="1">
        <v>4.2086601718740098E-5</v>
      </c>
      <c r="V6" s="1">
        <v>5.9730213781665497E-4</v>
      </c>
      <c r="W6" s="1">
        <v>5.4171825077579297E-2</v>
      </c>
      <c r="X6" s="1">
        <v>5.2911941366026198E-3</v>
      </c>
      <c r="Y6" s="1">
        <v>6.8639358077413004E-2</v>
      </c>
      <c r="Z6" s="1">
        <v>1.7795206024374601E-3</v>
      </c>
      <c r="AA6" s="1">
        <v>1.44675329998336E-2</v>
      </c>
      <c r="AB6" s="1">
        <v>5.0297125443199898E-2</v>
      </c>
      <c r="AC6" s="1">
        <v>4.9675283478275798E-3</v>
      </c>
      <c r="AD6" s="1">
        <v>6.4348690841370307E-2</v>
      </c>
      <c r="AE6" s="1">
        <v>1.78014736351292E-3</v>
      </c>
      <c r="AF6" s="1">
        <v>1.4051565398170301E-2</v>
      </c>
      <c r="AG6" s="1">
        <v>1.81549710563603E-3</v>
      </c>
      <c r="AH6" s="1">
        <v>8.1578839756012102E-4</v>
      </c>
      <c r="AI6" s="1">
        <v>2.4463172816165299E-3</v>
      </c>
      <c r="AJ6" s="1">
        <v>7.4312135322106306E-5</v>
      </c>
      <c r="AK6" s="1">
        <v>6.3082017598050202E-4</v>
      </c>
      <c r="AL6" s="1">
        <v>7.9448632635456498E-2</v>
      </c>
      <c r="AM6" s="1">
        <v>5.9374531804037498E-3</v>
      </c>
      <c r="AN6" s="1">
        <v>8.9419395124187298E-2</v>
      </c>
      <c r="AO6" s="1">
        <v>2.0103668638606601E-3</v>
      </c>
      <c r="AP6" s="1">
        <v>9.9707624887307392E-3</v>
      </c>
      <c r="AQ6" s="1">
        <v>8.4700451944078797E-2</v>
      </c>
      <c r="AR6" s="1">
        <v>6.1802379422851699E-3</v>
      </c>
      <c r="AS6" s="1">
        <v>9.5168327042889703E-2</v>
      </c>
      <c r="AT6" s="1">
        <v>2.30923607103006E-3</v>
      </c>
      <c r="AU6" s="1">
        <v>1.04678750988109E-2</v>
      </c>
      <c r="AV6" s="1">
        <v>3.83480622414607E-4</v>
      </c>
      <c r="AW6" s="1">
        <v>6.0637656004598295E-4</v>
      </c>
      <c r="AX6" s="1">
        <v>1.20690924089974E-3</v>
      </c>
      <c r="AY6" s="1">
        <v>3.5174627640809299E-5</v>
      </c>
      <c r="AZ6" s="1">
        <v>8.2342861848514002E-4</v>
      </c>
      <c r="BA6" s="1">
        <v>6.0721449169470698E-2</v>
      </c>
      <c r="BB6" s="1">
        <v>5.2939134174833898E-3</v>
      </c>
      <c r="BC6" s="1">
        <v>7.2687646966257805E-2</v>
      </c>
      <c r="BD6" s="1">
        <v>1.81452534838229E-3</v>
      </c>
      <c r="BE6" s="1">
        <v>1.1966197796787001E-2</v>
      </c>
      <c r="BF6" s="1">
        <v>6.4852473133605495E-2</v>
      </c>
      <c r="BG6" s="1">
        <v>5.5170954538373103E-3</v>
      </c>
      <c r="BH6" s="1">
        <v>7.6786699679311801E-2</v>
      </c>
      <c r="BI6" s="1">
        <v>2.0465742783958101E-3</v>
      </c>
      <c r="BJ6" s="1">
        <v>1.19342265457063E-2</v>
      </c>
      <c r="BK6" s="1">
        <v>1.2913943543228701E-3</v>
      </c>
      <c r="BL6" s="1">
        <v>8.0935522066784499E-4</v>
      </c>
      <c r="BM6" s="1">
        <v>1.63669655818454E-3</v>
      </c>
      <c r="BN6" s="1">
        <v>5.6196956912816403E-5</v>
      </c>
      <c r="BO6" s="1">
        <v>3.4530220386167301E-4</v>
      </c>
      <c r="BP6" s="1">
        <v>1.8380518117165599E-2</v>
      </c>
      <c r="BQ6" s="1">
        <v>3.3468801415355801E-3</v>
      </c>
      <c r="BR6" s="1">
        <v>2.75674062262822E-2</v>
      </c>
      <c r="BS6" s="1">
        <v>9.8956822932429992E-4</v>
      </c>
      <c r="BT6" s="1">
        <v>9.1868881091166192E-3</v>
      </c>
      <c r="BU6" s="1">
        <v>1.92834308518063E-2</v>
      </c>
      <c r="BV6" s="1">
        <v>3.5477907519567398E-3</v>
      </c>
      <c r="BW6" s="1">
        <v>2.9648946801732998E-2</v>
      </c>
      <c r="BX6" s="1">
        <v>1.0316077849784101E-3</v>
      </c>
      <c r="BY6" s="1">
        <v>1.03655159499267E-2</v>
      </c>
    </row>
    <row r="7" spans="1:77" x14ac:dyDescent="0.35">
      <c r="B7" t="s">
        <v>80</v>
      </c>
      <c r="C7" s="1">
        <v>-1.2384358593403599E-4</v>
      </c>
      <c r="D7" s="1">
        <v>2.4975366971436601E-4</v>
      </c>
      <c r="E7" s="1">
        <v>1.8044429021039801E-4</v>
      </c>
      <c r="F7" s="1">
        <v>9.3026277816326205E-6</v>
      </c>
      <c r="G7" s="1">
        <v>3.04287876144434E-4</v>
      </c>
      <c r="H7" s="1">
        <v>3.9398827527193803E-3</v>
      </c>
      <c r="I7" s="1">
        <v>1.27345810177533E-3</v>
      </c>
      <c r="J7" s="1">
        <v>4.7172114543768103E-3</v>
      </c>
      <c r="K7" s="1">
        <v>1.07820038879657E-4</v>
      </c>
      <c r="L7" s="1">
        <v>7.7732870165742496E-4</v>
      </c>
      <c r="M7" s="1">
        <v>4.5598045265849898E-3</v>
      </c>
      <c r="N7" s="1">
        <v>1.3394944253178899E-3</v>
      </c>
      <c r="O7" s="1">
        <v>5.3702082997454503E-3</v>
      </c>
      <c r="P7" s="1">
        <v>1.3066474666789701E-4</v>
      </c>
      <c r="Q7" s="1">
        <v>8.1040377316045895E-4</v>
      </c>
      <c r="R7" s="1">
        <v>8.9512708883684303E-5</v>
      </c>
      <c r="S7" s="1">
        <v>3.34713695064217E-4</v>
      </c>
      <c r="T7" s="1">
        <v>2.3662090410972699E-4</v>
      </c>
      <c r="U7" s="1">
        <v>8.3229886167605204E-6</v>
      </c>
      <c r="V7" s="1">
        <v>1.47108195226042E-4</v>
      </c>
      <c r="W7" s="1">
        <v>1.47044198759043E-2</v>
      </c>
      <c r="X7" s="1">
        <v>2.44209209297755E-3</v>
      </c>
      <c r="Y7" s="1">
        <v>1.6590362829213001E-2</v>
      </c>
      <c r="Z7" s="1">
        <v>3.8590461290706002E-4</v>
      </c>
      <c r="AA7" s="1">
        <v>1.8859429533086599E-3</v>
      </c>
      <c r="AB7" s="1">
        <v>1.34941304845241E-2</v>
      </c>
      <c r="AC7" s="1">
        <v>2.2196001399397598E-3</v>
      </c>
      <c r="AD7" s="1">
        <v>1.57907620289841E-2</v>
      </c>
      <c r="AE7" s="1">
        <v>3.6871635044431999E-4</v>
      </c>
      <c r="AF7" s="1">
        <v>2.29663154446001E-3</v>
      </c>
      <c r="AG7" s="1">
        <v>3.81994804949815E-4</v>
      </c>
      <c r="AH7" s="1">
        <v>5.2134287155543898E-4</v>
      </c>
      <c r="AI7" s="1">
        <v>6.8031999142904496E-4</v>
      </c>
      <c r="AJ7" s="1">
        <v>2.4863953046508102E-5</v>
      </c>
      <c r="AK7" s="1">
        <v>2.9832518647922898E-4</v>
      </c>
      <c r="AL7" s="1">
        <v>2.4953258990597599E-2</v>
      </c>
      <c r="AM7" s="1">
        <v>2.9216923299866999E-3</v>
      </c>
      <c r="AN7" s="1">
        <v>2.7065693553745399E-2</v>
      </c>
      <c r="AO7" s="1">
        <v>6.04465528100364E-4</v>
      </c>
      <c r="AP7" s="1">
        <v>2.1124345631478602E-3</v>
      </c>
      <c r="AQ7" s="1">
        <v>2.6348488634041701E-2</v>
      </c>
      <c r="AR7" s="1">
        <v>3.0815347250974599E-3</v>
      </c>
      <c r="AS7" s="1">
        <v>2.8304765845686201E-2</v>
      </c>
      <c r="AT7" s="1">
        <v>6.2622117244866401E-4</v>
      </c>
      <c r="AU7" s="1">
        <v>1.9562772116444799E-3</v>
      </c>
      <c r="AV7" s="1">
        <v>-2.0456188955180301E-5</v>
      </c>
      <c r="AW7" s="1">
        <v>3.0938762041998399E-4</v>
      </c>
      <c r="AX7" s="1">
        <v>2.75735690183541E-4</v>
      </c>
      <c r="AY7" s="1">
        <v>1.0227504614802E-5</v>
      </c>
      <c r="AZ7" s="1">
        <v>2.9619187913872098E-4</v>
      </c>
      <c r="BA7" s="1">
        <v>1.1530464594357699E-2</v>
      </c>
      <c r="BB7" s="1">
        <v>1.9992525295136798E-3</v>
      </c>
      <c r="BC7" s="1">
        <v>1.29083730130843E-2</v>
      </c>
      <c r="BD7" s="1">
        <v>2.8315876153021702E-4</v>
      </c>
      <c r="BE7" s="1">
        <v>1.37790841872661E-3</v>
      </c>
      <c r="BF7" s="1">
        <v>1.18451416218633E-2</v>
      </c>
      <c r="BG7" s="1">
        <v>2.05947527121585E-3</v>
      </c>
      <c r="BH7" s="1">
        <v>1.32980697667128E-2</v>
      </c>
      <c r="BI7" s="1">
        <v>2.8293108396858501E-4</v>
      </c>
      <c r="BJ7" s="1">
        <v>1.4529281448495701E-3</v>
      </c>
      <c r="BK7" s="1">
        <v>6.5189528541521402E-4</v>
      </c>
      <c r="BL7" s="1">
        <v>8.2132180767863596E-4</v>
      </c>
      <c r="BM7" s="1">
        <v>1.48014446717359E-3</v>
      </c>
      <c r="BN7" s="1">
        <v>6.6227688633820894E-5</v>
      </c>
      <c r="BO7" s="1">
        <v>8.2824918175837905E-4</v>
      </c>
      <c r="BP7" s="1">
        <v>2.63706824422415E-2</v>
      </c>
      <c r="BQ7" s="1">
        <v>3.73855170018019E-3</v>
      </c>
      <c r="BR7" s="1">
        <v>3.3823334038687002E-2</v>
      </c>
      <c r="BS7" s="1">
        <v>1.0209869936285399E-3</v>
      </c>
      <c r="BT7" s="1">
        <v>7.4526515964455E-3</v>
      </c>
      <c r="BU7" s="1">
        <v>2.7572960594879899E-2</v>
      </c>
      <c r="BV7" s="1">
        <v>3.9166590976876699E-3</v>
      </c>
      <c r="BW7" s="1">
        <v>3.5753666522003201E-2</v>
      </c>
      <c r="BX7" s="1">
        <v>9.5711681570762302E-4</v>
      </c>
      <c r="BY7" s="1">
        <v>8.1807059271233103E-3</v>
      </c>
    </row>
    <row r="8" spans="1:77" x14ac:dyDescent="0.35">
      <c r="B8" t="s">
        <v>75</v>
      </c>
      <c r="C8" s="1">
        <v>4.5727066224091097E-3</v>
      </c>
      <c r="D8" s="1">
        <v>1.81043317481085E-3</v>
      </c>
      <c r="E8" s="1">
        <v>9.3948076890675303E-3</v>
      </c>
      <c r="F8" s="1">
        <v>3.0834691085247198E-4</v>
      </c>
      <c r="G8" s="1">
        <v>4.8221010666584102E-3</v>
      </c>
      <c r="H8" s="1">
        <v>0.622334518467617</v>
      </c>
      <c r="I8" s="1">
        <v>1.48942896819718E-2</v>
      </c>
      <c r="J8" s="1">
        <v>0.64219279279059505</v>
      </c>
      <c r="K8" s="1">
        <v>1.0340766301267901E-2</v>
      </c>
      <c r="L8" s="1">
        <v>1.9858274322978701E-2</v>
      </c>
      <c r="M8" s="1">
        <v>0.56435683597229003</v>
      </c>
      <c r="N8" s="1">
        <v>1.30204545724743E-2</v>
      </c>
      <c r="O8" s="1">
        <v>0.58807518375243495</v>
      </c>
      <c r="P8" s="1">
        <v>1.16738326165084E-2</v>
      </c>
      <c r="Q8" s="1">
        <v>2.37183477801447E-2</v>
      </c>
      <c r="R8" s="1">
        <v>1.07248673413591E-2</v>
      </c>
      <c r="S8" s="1">
        <v>2.6603088672245701E-3</v>
      </c>
      <c r="T8" s="1">
        <v>2.0632010727234001E-2</v>
      </c>
      <c r="U8" s="1">
        <v>7.6981574617564902E-4</v>
      </c>
      <c r="V8" s="1">
        <v>9.9071433858748705E-3</v>
      </c>
      <c r="W8" s="1">
        <v>0.24131834565355201</v>
      </c>
      <c r="X8" s="1">
        <v>9.6582078211267797E-3</v>
      </c>
      <c r="Y8" s="1">
        <v>0.25805279050729502</v>
      </c>
      <c r="Z8" s="1">
        <v>5.2808723708940497E-3</v>
      </c>
      <c r="AA8" s="1">
        <v>1.6734444853742599E-2</v>
      </c>
      <c r="AB8" s="1">
        <v>0.288029221477065</v>
      </c>
      <c r="AC8" s="1">
        <v>1.01223216430728E-2</v>
      </c>
      <c r="AD8" s="1">
        <v>0.30439402834459101</v>
      </c>
      <c r="AE8" s="1">
        <v>6.7607452139025999E-3</v>
      </c>
      <c r="AF8" s="1">
        <v>1.6364806867525498E-2</v>
      </c>
      <c r="AG8" s="1">
        <v>5.7449428724155203E-3</v>
      </c>
      <c r="AH8" s="1">
        <v>2.30464363334158E-3</v>
      </c>
      <c r="AI8" s="1">
        <v>1.43725395993435E-2</v>
      </c>
      <c r="AJ8" s="1">
        <v>5.5253646944686502E-4</v>
      </c>
      <c r="AK8" s="1">
        <v>8.6275967269279896E-3</v>
      </c>
      <c r="AL8" s="1">
        <v>0.24483836916328899</v>
      </c>
      <c r="AM8" s="1">
        <v>9.6093091150851791E-3</v>
      </c>
      <c r="AN8" s="1">
        <v>0.25209286721859597</v>
      </c>
      <c r="AO8" s="1">
        <v>4.7899152005588599E-3</v>
      </c>
      <c r="AP8" s="1">
        <v>7.2544980553064797E-3</v>
      </c>
      <c r="AQ8" s="1">
        <v>0.20218959372506101</v>
      </c>
      <c r="AR8" s="1">
        <v>8.2648566621951695E-3</v>
      </c>
      <c r="AS8" s="1">
        <v>0.210892319445454</v>
      </c>
      <c r="AT8" s="1">
        <v>4.5745971950099202E-3</v>
      </c>
      <c r="AU8" s="1">
        <v>8.7027257203932604E-3</v>
      </c>
      <c r="AV8" s="1">
        <v>5.9276886502375899E-3</v>
      </c>
      <c r="AW8" s="1">
        <v>2.21326900174445E-3</v>
      </c>
      <c r="AX8" s="1">
        <v>1.29365277472049E-2</v>
      </c>
      <c r="AY8" s="1">
        <v>4.67273473242633E-4</v>
      </c>
      <c r="AZ8" s="1">
        <v>7.0088390969673701E-3</v>
      </c>
      <c r="BA8" s="1">
        <v>0.380732209869871</v>
      </c>
      <c r="BB8" s="1">
        <v>1.1897963286799099E-2</v>
      </c>
      <c r="BC8" s="1">
        <v>0.39448755157578602</v>
      </c>
      <c r="BD8" s="1">
        <v>7.1487790825131301E-3</v>
      </c>
      <c r="BE8" s="1">
        <v>1.3755341705914701E-2</v>
      </c>
      <c r="BF8" s="1">
        <v>0.34729248822111303</v>
      </c>
      <c r="BG8" s="1">
        <v>1.03296682214897E-2</v>
      </c>
      <c r="BH8" s="1">
        <v>0.361610010171457</v>
      </c>
      <c r="BI8" s="1">
        <v>7.8753153131799099E-3</v>
      </c>
      <c r="BJ8" s="1">
        <v>1.4317521950343901E-2</v>
      </c>
      <c r="BK8" s="1">
        <v>1.2732416078372799E-2</v>
      </c>
      <c r="BL8" s="1">
        <v>3.23656745039125E-3</v>
      </c>
      <c r="BM8" s="1">
        <v>2.72608599280173E-2</v>
      </c>
      <c r="BN8" s="1">
        <v>1.1723428113559399E-3</v>
      </c>
      <c r="BO8" s="1">
        <v>1.4528443849644501E-2</v>
      </c>
      <c r="BP8" s="1">
        <v>0.118855523295919</v>
      </c>
      <c r="BQ8" s="1">
        <v>7.9503409947672896E-3</v>
      </c>
      <c r="BR8" s="1">
        <v>0.16812379613858899</v>
      </c>
      <c r="BS8" s="1">
        <v>6.5187818614565202E-3</v>
      </c>
      <c r="BT8" s="1">
        <v>4.9268272842669103E-2</v>
      </c>
      <c r="BU8" s="1">
        <v>6.7360348404526399E-2</v>
      </c>
      <c r="BV8" s="1">
        <v>7.1443122187536496E-3</v>
      </c>
      <c r="BW8" s="1">
        <v>0.11670405350389799</v>
      </c>
      <c r="BX8" s="1">
        <v>3.2293620026380299E-3</v>
      </c>
      <c r="BY8" s="1">
        <v>4.9343705099372297E-2</v>
      </c>
    </row>
    <row r="11" spans="1:77" x14ac:dyDescent="0.35">
      <c r="N11" s="5" t="s">
        <v>92</v>
      </c>
    </row>
    <row r="13" spans="1:77" x14ac:dyDescent="0.35">
      <c r="A13" s="2"/>
      <c r="B13" s="2"/>
      <c r="C13" s="3" t="s">
        <v>83</v>
      </c>
      <c r="D13" s="3"/>
      <c r="E13" s="3"/>
      <c r="F13" s="3"/>
      <c r="G13" s="3"/>
      <c r="H13" s="3"/>
      <c r="I13" s="3"/>
      <c r="J13" s="3"/>
      <c r="K13" s="3"/>
      <c r="L13" s="4"/>
    </row>
    <row r="14" spans="1:77" x14ac:dyDescent="0.35">
      <c r="A14" s="2"/>
      <c r="B14" s="2" t="s">
        <v>174</v>
      </c>
      <c r="C14" s="3" t="s">
        <v>85</v>
      </c>
      <c r="D14" s="3"/>
      <c r="E14" s="3" t="s">
        <v>86</v>
      </c>
      <c r="F14" s="3"/>
      <c r="G14" s="3" t="s">
        <v>87</v>
      </c>
      <c r="H14" s="3"/>
      <c r="I14" s="3" t="s">
        <v>88</v>
      </c>
      <c r="J14" s="3"/>
      <c r="K14" s="3" t="s">
        <v>89</v>
      </c>
      <c r="L14" s="3"/>
    </row>
    <row r="15" spans="1:77" x14ac:dyDescent="0.35">
      <c r="A15" s="2"/>
      <c r="B15" s="2" t="s">
        <v>82</v>
      </c>
      <c r="C15" s="4" t="s">
        <v>90</v>
      </c>
      <c r="D15" s="4" t="s">
        <v>91</v>
      </c>
      <c r="E15" s="4" t="s">
        <v>90</v>
      </c>
      <c r="F15" s="4" t="s">
        <v>91</v>
      </c>
      <c r="G15" s="4" t="s">
        <v>90</v>
      </c>
      <c r="H15" s="4" t="s">
        <v>91</v>
      </c>
      <c r="I15" s="4" t="s">
        <v>90</v>
      </c>
      <c r="J15" s="4" t="s">
        <v>91</v>
      </c>
      <c r="K15" s="4" t="s">
        <v>90</v>
      </c>
      <c r="L15" s="4" t="s">
        <v>91</v>
      </c>
    </row>
    <row r="16" spans="1:77" x14ac:dyDescent="0.35">
      <c r="A16" s="2"/>
      <c r="B16" s="2" t="s">
        <v>77</v>
      </c>
      <c r="C16" s="2" t="str">
        <f>_xlfn.CONCAT(TEXT(C2,"0.00")," ± ",TEXT(D2,"0.00"))</f>
        <v>0.39 ± 0.01</v>
      </c>
      <c r="D16" s="2" t="str">
        <f>_xlfn.CONCAT(TEXT(E2,"0.00")," ± ",TEXT(F2,"0.00"))</f>
        <v>0.50 ± 0.01</v>
      </c>
      <c r="E16" s="2" t="str">
        <f>_xlfn.CONCAT(TEXT(R2,"0.00")," ± ",TEXT(S2,"0.00"))</f>
        <v>0.40 ± 0.01</v>
      </c>
      <c r="F16" s="2" t="str">
        <f>_xlfn.CONCAT(TEXT(T2,"0.00")," ± ",TEXT(U2,"0.00"))</f>
        <v>0.49 ± 0.01</v>
      </c>
      <c r="G16" s="2" t="str">
        <f>_xlfn.CONCAT(TEXT(AG2,"0.00")," ± ",TEXT(AH2,"0.00"))</f>
        <v>0.36 ± 0.01</v>
      </c>
      <c r="H16" s="2" t="str">
        <f>_xlfn.CONCAT(TEXT(AI2,"0.00")," ± ",TEXT(AJ2,"0.00"))</f>
        <v>0.43 ± 0.01</v>
      </c>
      <c r="I16" s="2" t="str">
        <f>_xlfn.CONCAT(TEXT(AV2,"0.00")," ± ",TEXT(AW2,"0.00"))</f>
        <v>0.37 ± 0.01</v>
      </c>
      <c r="J16" s="2" t="str">
        <f>_xlfn.CONCAT(TEXT(AX2,"0.00")," ± ",TEXT(AY2,"0.00"))</f>
        <v>0.45 ± 0.01</v>
      </c>
      <c r="K16" s="2" t="str">
        <f>_xlfn.CONCAT(TEXT(BK2,"0.00")," ± ",TEXT(BL2,"0.00"))</f>
        <v>0.45 ± 0.01</v>
      </c>
      <c r="L16" s="2" t="str">
        <f>_xlfn.CONCAT(TEXT(BM2,"0.00")," ± ",TEXT(BN2,"0.00"))</f>
        <v>0.55 ± 0.01</v>
      </c>
    </row>
    <row r="17" spans="1:12" x14ac:dyDescent="0.35">
      <c r="A17" s="2"/>
      <c r="B17" s="2" t="s">
        <v>76</v>
      </c>
      <c r="C17" s="2" t="str">
        <f t="shared" ref="C17:C22" si="0">_xlfn.CONCAT(TEXT(C3,"0.00")," ± ",TEXT(D3,"0.00"))</f>
        <v>0.50 ± 0.01</v>
      </c>
      <c r="D17" s="2" t="str">
        <f t="shared" ref="D17:D22" si="1">_xlfn.CONCAT(TEXT(E3,"0.00")," ± ",TEXT(F3,"0.00"))</f>
        <v>0.60 ± 0.01</v>
      </c>
      <c r="E17" s="2" t="str">
        <f t="shared" ref="E17:E22" si="2">_xlfn.CONCAT(TEXT(R3,"0.00")," ± ",TEXT(S3,"0.00"))</f>
        <v>0.49 ± 0.01</v>
      </c>
      <c r="F17" s="2" t="str">
        <f t="shared" ref="F17:F22" si="3">_xlfn.CONCAT(TEXT(T3,"0.00")," ± ",TEXT(U3,"0.00"))</f>
        <v>0.58 ± 0.01</v>
      </c>
      <c r="G17" s="2" t="str">
        <f t="shared" ref="G17:G22" si="4">_xlfn.CONCAT(TEXT(AG3,"0.00")," ± ",TEXT(AH3,"0.00"))</f>
        <v>0.56 ± 0.01</v>
      </c>
      <c r="H17" s="2" t="str">
        <f t="shared" ref="H17:H22" si="5">_xlfn.CONCAT(TEXT(AI3,"0.00")," ± ",TEXT(AJ3,"0.00"))</f>
        <v>0.62 ± 0.01</v>
      </c>
      <c r="I17" s="2" t="str">
        <f t="shared" ref="I17:I22" si="6">_xlfn.CONCAT(TEXT(AV3,"0.00")," ± ",TEXT(AW3,"0.00"))</f>
        <v>0.53 ± 0.01</v>
      </c>
      <c r="J17" s="2" t="str">
        <f t="shared" ref="J17:J22" si="7">_xlfn.CONCAT(TEXT(AX3,"0.00")," ± ",TEXT(AY3,"0.00"))</f>
        <v>0.62 ± 0.01</v>
      </c>
      <c r="K17" s="2" t="str">
        <f t="shared" ref="K17:K22" si="8">_xlfn.CONCAT(TEXT(BK3,"0.00")," ± ",TEXT(BL3,"0.00"))</f>
        <v>0.40 ± 0.01</v>
      </c>
      <c r="L17" s="2" t="str">
        <f t="shared" ref="L17:L22" si="9">_xlfn.CONCAT(TEXT(BM3,"0.00")," ± ",TEXT(BN3,"0.00"))</f>
        <v>0.50 ± 0.01</v>
      </c>
    </row>
    <row r="18" spans="1:12" x14ac:dyDescent="0.35">
      <c r="A18" s="2"/>
      <c r="B18" s="2" t="s">
        <v>79</v>
      </c>
      <c r="C18" s="2" t="str">
        <f t="shared" si="0"/>
        <v>0.00 ± 0.00</v>
      </c>
      <c r="D18" s="2" t="str">
        <f t="shared" si="1"/>
        <v>0.00 ± 0.00</v>
      </c>
      <c r="E18" s="2" t="str">
        <f t="shared" si="2"/>
        <v>0.00 ± 0.00</v>
      </c>
      <c r="F18" s="2" t="str">
        <f t="shared" si="3"/>
        <v>0.00 ± 0.00</v>
      </c>
      <c r="G18" s="2" t="str">
        <f t="shared" si="4"/>
        <v>0.00 ± 0.00</v>
      </c>
      <c r="H18" s="2" t="str">
        <f t="shared" si="5"/>
        <v>0.01 ± 0.00</v>
      </c>
      <c r="I18" s="2" t="str">
        <f t="shared" si="6"/>
        <v>0.00 ± 0.00</v>
      </c>
      <c r="J18" s="2" t="str">
        <f t="shared" si="7"/>
        <v>0.00 ± 0.00</v>
      </c>
      <c r="K18" s="2" t="str">
        <f t="shared" si="8"/>
        <v>0.01 ± 0.00</v>
      </c>
      <c r="L18" s="2" t="str">
        <f t="shared" si="9"/>
        <v>0.04 ± 0.00</v>
      </c>
    </row>
    <row r="19" spans="1:12" x14ac:dyDescent="0.35">
      <c r="A19" s="2"/>
      <c r="B19" s="2" t="s">
        <v>81</v>
      </c>
      <c r="C19" s="2" t="str">
        <f t="shared" si="0"/>
        <v>0.00 ± 0.00</v>
      </c>
      <c r="D19" s="2" t="str">
        <f t="shared" si="1"/>
        <v>0.00 ± 0.00</v>
      </c>
      <c r="E19" s="2" t="str">
        <f t="shared" si="2"/>
        <v>0.00 ± 0.00</v>
      </c>
      <c r="F19" s="2" t="str">
        <f t="shared" si="3"/>
        <v>0.00 ± 0.00</v>
      </c>
      <c r="G19" s="2" t="str">
        <f t="shared" si="4"/>
        <v>0.00 ± 0.00</v>
      </c>
      <c r="H19" s="2" t="str">
        <f t="shared" si="5"/>
        <v>0.00 ± 0.00</v>
      </c>
      <c r="I19" s="2" t="str">
        <f t="shared" si="6"/>
        <v>0.00 ± 0.00</v>
      </c>
      <c r="J19" s="2" t="str">
        <f t="shared" si="7"/>
        <v>0.00 ± 0.00</v>
      </c>
      <c r="K19" s="2" t="str">
        <f t="shared" si="8"/>
        <v>0.00 ± 0.00</v>
      </c>
      <c r="L19" s="2" t="str">
        <f t="shared" si="9"/>
        <v>0.02 ± 0.00</v>
      </c>
    </row>
    <row r="20" spans="1:12" x14ac:dyDescent="0.35">
      <c r="A20" s="2"/>
      <c r="B20" s="2" t="s">
        <v>78</v>
      </c>
      <c r="C20" s="2" t="str">
        <f t="shared" si="0"/>
        <v>0.00 ± 0.00</v>
      </c>
      <c r="D20" s="2" t="str">
        <f t="shared" si="1"/>
        <v>0.00 ± 0.00</v>
      </c>
      <c r="E20" s="2" t="str">
        <f t="shared" si="2"/>
        <v>0.00 ± 0.00</v>
      </c>
      <c r="F20" s="2" t="str">
        <f t="shared" si="3"/>
        <v>0.00 ± 0.00</v>
      </c>
      <c r="G20" s="2" t="str">
        <f t="shared" si="4"/>
        <v>0.00 ± 0.00</v>
      </c>
      <c r="H20" s="2" t="str">
        <f t="shared" si="5"/>
        <v>0.00 ± 0.00</v>
      </c>
      <c r="I20" s="2" t="str">
        <f t="shared" si="6"/>
        <v>0.00 ± 0.00</v>
      </c>
      <c r="J20" s="2" t="str">
        <f t="shared" si="7"/>
        <v>0.00 ± 0.00</v>
      </c>
      <c r="K20" s="2" t="str">
        <f t="shared" si="8"/>
        <v>0.00 ± 0.00</v>
      </c>
      <c r="L20" s="2" t="str">
        <f t="shared" si="9"/>
        <v>0.00 ± 0.00</v>
      </c>
    </row>
    <row r="21" spans="1:12" x14ac:dyDescent="0.35">
      <c r="A21" s="2"/>
      <c r="B21" s="2" t="s">
        <v>80</v>
      </c>
      <c r="C21" s="2" t="str">
        <f t="shared" si="0"/>
        <v>0.00 ± 0.00</v>
      </c>
      <c r="D21" s="2" t="str">
        <f t="shared" si="1"/>
        <v>0.00 ± 0.00</v>
      </c>
      <c r="E21" s="2" t="str">
        <f t="shared" si="2"/>
        <v>0.00 ± 0.00</v>
      </c>
      <c r="F21" s="2" t="str">
        <f t="shared" si="3"/>
        <v>0.00 ± 0.00</v>
      </c>
      <c r="G21" s="2" t="str">
        <f t="shared" si="4"/>
        <v>0.00 ± 0.00</v>
      </c>
      <c r="H21" s="2" t="str">
        <f t="shared" si="5"/>
        <v>0.00 ± 0.00</v>
      </c>
      <c r="I21" s="2" t="str">
        <f t="shared" si="6"/>
        <v>0.00 ± 0.00</v>
      </c>
      <c r="J21" s="2" t="str">
        <f t="shared" si="7"/>
        <v>0.00 ± 0.00</v>
      </c>
      <c r="K21" s="2" t="str">
        <f t="shared" si="8"/>
        <v>0.00 ± 0.00</v>
      </c>
      <c r="L21" s="2" t="str">
        <f t="shared" si="9"/>
        <v>0.00 ± 0.00</v>
      </c>
    </row>
    <row r="22" spans="1:12" x14ac:dyDescent="0.35">
      <c r="A22" s="2"/>
      <c r="B22" s="2" t="s">
        <v>75</v>
      </c>
      <c r="C22" s="2" t="str">
        <f t="shared" si="0"/>
        <v>0.00 ± 0.00</v>
      </c>
      <c r="D22" s="2" t="str">
        <f t="shared" si="1"/>
        <v>0.01 ± 0.00</v>
      </c>
      <c r="E22" s="2" t="str">
        <f t="shared" si="2"/>
        <v>0.01 ± 0.00</v>
      </c>
      <c r="F22" s="2" t="str">
        <f t="shared" si="3"/>
        <v>0.02 ± 0.00</v>
      </c>
      <c r="G22" s="2" t="str">
        <f t="shared" si="4"/>
        <v>0.01 ± 0.00</v>
      </c>
      <c r="H22" s="2" t="str">
        <f t="shared" si="5"/>
        <v>0.01 ± 0.00</v>
      </c>
      <c r="I22" s="2" t="str">
        <f t="shared" si="6"/>
        <v>0.01 ± 0.00</v>
      </c>
      <c r="J22" s="2" t="str">
        <f t="shared" si="7"/>
        <v>0.01 ± 0.00</v>
      </c>
      <c r="K22" s="2" t="str">
        <f t="shared" si="8"/>
        <v>0.01 ± 0.00</v>
      </c>
      <c r="L22" s="2" t="str">
        <f t="shared" si="9"/>
        <v>0.03 ± 0.00</v>
      </c>
    </row>
    <row r="26" spans="1:12" x14ac:dyDescent="0.35">
      <c r="B26" s="17" t="s">
        <v>84</v>
      </c>
      <c r="C26" s="7"/>
      <c r="D26" s="7"/>
      <c r="E26" s="7"/>
      <c r="F26" s="7"/>
      <c r="G26" s="7"/>
      <c r="H26" s="7"/>
      <c r="I26" s="7"/>
      <c r="J26" s="7"/>
      <c r="K26" s="7"/>
      <c r="L26" s="8"/>
    </row>
    <row r="27" spans="1:12" x14ac:dyDescent="0.35">
      <c r="B27" s="17" t="s">
        <v>84</v>
      </c>
      <c r="C27" s="9" t="s">
        <v>85</v>
      </c>
      <c r="D27" s="11"/>
      <c r="E27" s="18" t="s">
        <v>86</v>
      </c>
      <c r="F27" s="9"/>
      <c r="G27" s="9" t="s">
        <v>87</v>
      </c>
      <c r="H27" s="9"/>
      <c r="I27" s="9" t="s">
        <v>88</v>
      </c>
      <c r="J27" s="9"/>
      <c r="K27" s="9" t="s">
        <v>89</v>
      </c>
      <c r="L27" s="11"/>
    </row>
    <row r="28" spans="1:12" x14ac:dyDescent="0.35">
      <c r="B28" s="6"/>
      <c r="C28" s="15" t="s">
        <v>90</v>
      </c>
      <c r="D28" s="12" t="s">
        <v>91</v>
      </c>
      <c r="E28" s="10" t="s">
        <v>90</v>
      </c>
      <c r="F28" s="12" t="s">
        <v>91</v>
      </c>
      <c r="G28" s="10" t="s">
        <v>90</v>
      </c>
      <c r="H28" s="12" t="s">
        <v>91</v>
      </c>
      <c r="I28" s="10" t="s">
        <v>90</v>
      </c>
      <c r="J28" s="12" t="s">
        <v>91</v>
      </c>
      <c r="K28" s="10" t="s">
        <v>90</v>
      </c>
      <c r="L28" s="12" t="s">
        <v>91</v>
      </c>
    </row>
    <row r="29" spans="1:12" x14ac:dyDescent="0.35">
      <c r="B29" s="6" t="s">
        <v>77</v>
      </c>
      <c r="C29" s="16" t="s">
        <v>171</v>
      </c>
      <c r="D29" s="13" t="s">
        <v>194</v>
      </c>
      <c r="E29" s="6" t="s">
        <v>195</v>
      </c>
      <c r="F29" s="14" t="s">
        <v>150</v>
      </c>
      <c r="G29" s="6" t="s">
        <v>191</v>
      </c>
      <c r="H29" s="14" t="s">
        <v>154</v>
      </c>
      <c r="I29" s="6" t="s">
        <v>196</v>
      </c>
      <c r="J29" s="14" t="s">
        <v>155</v>
      </c>
      <c r="K29" s="6" t="s">
        <v>155</v>
      </c>
      <c r="L29" s="14" t="s">
        <v>152</v>
      </c>
    </row>
    <row r="30" spans="1:12" x14ac:dyDescent="0.35">
      <c r="B30" s="6" t="s">
        <v>76</v>
      </c>
      <c r="C30" s="16" t="s">
        <v>194</v>
      </c>
      <c r="D30" s="14" t="s">
        <v>180</v>
      </c>
      <c r="E30" s="6" t="s">
        <v>150</v>
      </c>
      <c r="F30" s="14" t="s">
        <v>179</v>
      </c>
      <c r="G30" s="6" t="s">
        <v>185</v>
      </c>
      <c r="H30" s="14" t="s">
        <v>165</v>
      </c>
      <c r="I30" s="6" t="s">
        <v>197</v>
      </c>
      <c r="J30" s="14" t="s">
        <v>165</v>
      </c>
      <c r="K30" s="6" t="s">
        <v>195</v>
      </c>
      <c r="L30" s="14" t="s">
        <v>194</v>
      </c>
    </row>
    <row r="31" spans="1:12" x14ac:dyDescent="0.35">
      <c r="B31" s="6" t="s">
        <v>79</v>
      </c>
      <c r="C31" s="16" t="s">
        <v>136</v>
      </c>
      <c r="D31" s="14" t="s">
        <v>136</v>
      </c>
      <c r="E31" s="6" t="s">
        <v>136</v>
      </c>
      <c r="F31" s="14" t="s">
        <v>136</v>
      </c>
      <c r="G31" s="6" t="s">
        <v>136</v>
      </c>
      <c r="H31" s="14" t="s">
        <v>137</v>
      </c>
      <c r="I31" s="6" t="s">
        <v>136</v>
      </c>
      <c r="J31" s="14" t="s">
        <v>136</v>
      </c>
      <c r="K31" s="6" t="s">
        <v>137</v>
      </c>
      <c r="L31" s="14" t="s">
        <v>158</v>
      </c>
    </row>
    <row r="32" spans="1:12" x14ac:dyDescent="0.35">
      <c r="B32" s="6" t="s">
        <v>81</v>
      </c>
      <c r="C32" s="16" t="s">
        <v>136</v>
      </c>
      <c r="D32" s="14" t="s">
        <v>136</v>
      </c>
      <c r="E32" s="6" t="s">
        <v>136</v>
      </c>
      <c r="F32" s="14" t="s">
        <v>136</v>
      </c>
      <c r="G32" s="6" t="s">
        <v>136</v>
      </c>
      <c r="H32" s="14" t="s">
        <v>136</v>
      </c>
      <c r="I32" s="6" t="s">
        <v>136</v>
      </c>
      <c r="J32" s="14" t="s">
        <v>136</v>
      </c>
      <c r="K32" s="6" t="s">
        <v>136</v>
      </c>
      <c r="L32" s="14" t="s">
        <v>138</v>
      </c>
    </row>
    <row r="33" spans="2:12" x14ac:dyDescent="0.35">
      <c r="B33" s="6" t="s">
        <v>78</v>
      </c>
      <c r="C33" s="16" t="s">
        <v>136</v>
      </c>
      <c r="D33" s="14" t="s">
        <v>136</v>
      </c>
      <c r="E33" s="6" t="s">
        <v>136</v>
      </c>
      <c r="F33" s="14" t="s">
        <v>136</v>
      </c>
      <c r="G33" s="6" t="s">
        <v>136</v>
      </c>
      <c r="H33" s="14" t="s">
        <v>136</v>
      </c>
      <c r="I33" s="6" t="s">
        <v>136</v>
      </c>
      <c r="J33" s="14" t="s">
        <v>136</v>
      </c>
      <c r="K33" s="6" t="s">
        <v>136</v>
      </c>
      <c r="L33" s="14" t="s">
        <v>136</v>
      </c>
    </row>
    <row r="34" spans="2:12" x14ac:dyDescent="0.35">
      <c r="B34" s="6" t="s">
        <v>80</v>
      </c>
      <c r="C34" s="16" t="s">
        <v>136</v>
      </c>
      <c r="D34" s="14" t="s">
        <v>136</v>
      </c>
      <c r="E34" s="6" t="s">
        <v>136</v>
      </c>
      <c r="F34" s="14" t="s">
        <v>136</v>
      </c>
      <c r="G34" s="6" t="s">
        <v>136</v>
      </c>
      <c r="H34" s="14" t="s">
        <v>136</v>
      </c>
      <c r="I34" s="6" t="s">
        <v>136</v>
      </c>
      <c r="J34" s="14" t="s">
        <v>136</v>
      </c>
      <c r="K34" s="6" t="s">
        <v>136</v>
      </c>
      <c r="L34" s="14" t="s">
        <v>136</v>
      </c>
    </row>
    <row r="35" spans="2:12" x14ac:dyDescent="0.35">
      <c r="B35" s="6" t="s">
        <v>75</v>
      </c>
      <c r="C35" s="16" t="s">
        <v>136</v>
      </c>
      <c r="D35" s="14" t="s">
        <v>137</v>
      </c>
      <c r="E35" s="6" t="s">
        <v>137</v>
      </c>
      <c r="F35" s="14" t="s">
        <v>138</v>
      </c>
      <c r="G35" s="6" t="s">
        <v>137</v>
      </c>
      <c r="H35" s="14" t="s">
        <v>137</v>
      </c>
      <c r="I35" s="6" t="s">
        <v>137</v>
      </c>
      <c r="J35" s="14" t="s">
        <v>137</v>
      </c>
      <c r="K35" s="6" t="s">
        <v>137</v>
      </c>
      <c r="L35" s="14" t="s">
        <v>139</v>
      </c>
    </row>
    <row r="37" spans="2:12" x14ac:dyDescent="0.35">
      <c r="B37" s="17"/>
      <c r="C37" s="7"/>
      <c r="D37" s="7"/>
      <c r="E37" s="7"/>
      <c r="F37" s="7"/>
      <c r="G37" s="7"/>
      <c r="H37" s="7"/>
      <c r="I37" s="7"/>
      <c r="J37" s="7"/>
      <c r="K37" s="7"/>
      <c r="L37" s="8"/>
    </row>
    <row r="38" spans="2:12" x14ac:dyDescent="0.35">
      <c r="B38" s="17" t="s">
        <v>135</v>
      </c>
      <c r="C38" s="9" t="s">
        <v>85</v>
      </c>
      <c r="D38" s="11"/>
      <c r="E38" s="18" t="s">
        <v>86</v>
      </c>
      <c r="F38" s="9"/>
      <c r="G38" s="9" t="s">
        <v>87</v>
      </c>
      <c r="H38" s="9"/>
      <c r="I38" s="9" t="s">
        <v>88</v>
      </c>
      <c r="J38" s="9"/>
      <c r="K38" s="9" t="s">
        <v>89</v>
      </c>
      <c r="L38" s="11"/>
    </row>
    <row r="39" spans="2:12" x14ac:dyDescent="0.35">
      <c r="B39" s="6" t="s">
        <v>82</v>
      </c>
      <c r="C39" s="15" t="s">
        <v>90</v>
      </c>
      <c r="D39" s="12" t="s">
        <v>91</v>
      </c>
      <c r="E39" s="10" t="s">
        <v>90</v>
      </c>
      <c r="F39" s="12" t="s">
        <v>91</v>
      </c>
      <c r="G39" s="10" t="s">
        <v>90</v>
      </c>
      <c r="H39" s="12" t="s">
        <v>91</v>
      </c>
      <c r="I39" s="10" t="s">
        <v>90</v>
      </c>
      <c r="J39" s="12" t="s">
        <v>91</v>
      </c>
      <c r="K39" s="10" t="s">
        <v>90</v>
      </c>
      <c r="L39" s="12" t="s">
        <v>91</v>
      </c>
    </row>
    <row r="40" spans="2:12" x14ac:dyDescent="0.35">
      <c r="B40" s="6" t="s">
        <v>77</v>
      </c>
      <c r="C40" s="16" t="s">
        <v>136</v>
      </c>
      <c r="D40" s="13" t="s">
        <v>137</v>
      </c>
      <c r="E40" s="6" t="s">
        <v>138</v>
      </c>
      <c r="F40" s="14" t="s">
        <v>139</v>
      </c>
      <c r="G40" s="6" t="s">
        <v>137</v>
      </c>
      <c r="H40" s="14" t="s">
        <v>137</v>
      </c>
      <c r="I40" s="6" t="s">
        <v>137</v>
      </c>
      <c r="J40" s="14" t="s">
        <v>137</v>
      </c>
      <c r="K40" s="6" t="s">
        <v>137</v>
      </c>
      <c r="L40" s="14" t="s">
        <v>140</v>
      </c>
    </row>
    <row r="41" spans="2:12" x14ac:dyDescent="0.35">
      <c r="B41" s="6" t="s">
        <v>76</v>
      </c>
      <c r="C41" s="16" t="s">
        <v>141</v>
      </c>
      <c r="D41" s="14" t="s">
        <v>142</v>
      </c>
      <c r="E41" s="6" t="s">
        <v>143</v>
      </c>
      <c r="F41" s="14" t="s">
        <v>144</v>
      </c>
      <c r="G41" s="6" t="s">
        <v>139</v>
      </c>
      <c r="H41" s="14" t="s">
        <v>140</v>
      </c>
      <c r="I41" s="6" t="s">
        <v>145</v>
      </c>
      <c r="J41" s="14" t="s">
        <v>146</v>
      </c>
      <c r="K41" s="6" t="s">
        <v>141</v>
      </c>
      <c r="L41" s="14" t="s">
        <v>147</v>
      </c>
    </row>
    <row r="42" spans="2:12" x14ac:dyDescent="0.35">
      <c r="B42" s="6" t="s">
        <v>79</v>
      </c>
      <c r="C42" s="16" t="s">
        <v>148</v>
      </c>
      <c r="D42" s="14" t="s">
        <v>149</v>
      </c>
      <c r="E42" s="6" t="s">
        <v>150</v>
      </c>
      <c r="F42" s="14" t="s">
        <v>151</v>
      </c>
      <c r="G42" s="6" t="s">
        <v>152</v>
      </c>
      <c r="H42" s="14" t="s">
        <v>153</v>
      </c>
      <c r="I42" s="6" t="s">
        <v>154</v>
      </c>
      <c r="J42" s="14" t="s">
        <v>155</v>
      </c>
      <c r="K42" s="6" t="s">
        <v>156</v>
      </c>
      <c r="L42" s="14" t="s">
        <v>157</v>
      </c>
    </row>
    <row r="43" spans="2:12" x14ac:dyDescent="0.35">
      <c r="B43" s="6" t="s">
        <v>81</v>
      </c>
      <c r="C43" s="16" t="s">
        <v>137</v>
      </c>
      <c r="D43" s="14" t="s">
        <v>137</v>
      </c>
      <c r="E43" s="6" t="s">
        <v>139</v>
      </c>
      <c r="F43" s="14" t="s">
        <v>158</v>
      </c>
      <c r="G43" s="6" t="s">
        <v>139</v>
      </c>
      <c r="H43" s="14" t="s">
        <v>158</v>
      </c>
      <c r="I43" s="6" t="s">
        <v>138</v>
      </c>
      <c r="J43" s="14" t="s">
        <v>139</v>
      </c>
      <c r="K43" s="6" t="s">
        <v>159</v>
      </c>
      <c r="L43" s="14" t="s">
        <v>160</v>
      </c>
    </row>
    <row r="44" spans="2:12" x14ac:dyDescent="0.35">
      <c r="B44" s="6" t="s">
        <v>78</v>
      </c>
      <c r="C44" s="16" t="s">
        <v>158</v>
      </c>
      <c r="D44" s="14" t="s">
        <v>158</v>
      </c>
      <c r="E44" s="6" t="s">
        <v>145</v>
      </c>
      <c r="F44" s="14" t="s">
        <v>161</v>
      </c>
      <c r="G44" s="6" t="s">
        <v>162</v>
      </c>
      <c r="H44" s="14" t="s">
        <v>163</v>
      </c>
      <c r="I44" s="6" t="s">
        <v>164</v>
      </c>
      <c r="J44" s="14" t="s">
        <v>161</v>
      </c>
      <c r="K44" s="6" t="s">
        <v>138</v>
      </c>
      <c r="L44" s="14" t="s">
        <v>139</v>
      </c>
    </row>
    <row r="45" spans="2:12" x14ac:dyDescent="0.35">
      <c r="B45" s="6" t="s">
        <v>80</v>
      </c>
      <c r="C45" s="16" t="s">
        <v>136</v>
      </c>
      <c r="D45" s="14" t="s">
        <v>136</v>
      </c>
      <c r="E45" s="6" t="s">
        <v>137</v>
      </c>
      <c r="F45" s="14" t="s">
        <v>138</v>
      </c>
      <c r="G45" s="6" t="s">
        <v>138</v>
      </c>
      <c r="H45" s="14" t="s">
        <v>139</v>
      </c>
      <c r="I45" s="6" t="s">
        <v>137</v>
      </c>
      <c r="J45" s="14" t="s">
        <v>137</v>
      </c>
      <c r="K45" s="6" t="s">
        <v>139</v>
      </c>
      <c r="L45" s="14" t="s">
        <v>139</v>
      </c>
    </row>
    <row r="46" spans="2:12" x14ac:dyDescent="0.35">
      <c r="B46" s="6" t="s">
        <v>75</v>
      </c>
      <c r="C46" s="16" t="s">
        <v>165</v>
      </c>
      <c r="D46" s="14" t="s">
        <v>166</v>
      </c>
      <c r="E46" s="6" t="s">
        <v>167</v>
      </c>
      <c r="F46" s="14" t="s">
        <v>168</v>
      </c>
      <c r="G46" s="6" t="s">
        <v>167</v>
      </c>
      <c r="H46" s="14" t="s">
        <v>169</v>
      </c>
      <c r="I46" s="6" t="s">
        <v>170</v>
      </c>
      <c r="J46" s="14" t="s">
        <v>171</v>
      </c>
      <c r="K46" s="6" t="s">
        <v>172</v>
      </c>
      <c r="L46" s="14" t="s">
        <v>173</v>
      </c>
    </row>
    <row r="49" spans="2:12" x14ac:dyDescent="0.35">
      <c r="B49" s="17" t="s">
        <v>174</v>
      </c>
      <c r="C49" s="9" t="s">
        <v>85</v>
      </c>
      <c r="D49" s="11"/>
      <c r="E49" s="18" t="s">
        <v>86</v>
      </c>
      <c r="F49" s="9"/>
      <c r="G49" s="9" t="s">
        <v>87</v>
      </c>
      <c r="H49" s="9"/>
      <c r="I49" s="9" t="s">
        <v>88</v>
      </c>
      <c r="J49" s="9"/>
      <c r="K49" s="9" t="s">
        <v>89</v>
      </c>
      <c r="L49" s="11"/>
    </row>
    <row r="50" spans="2:12" x14ac:dyDescent="0.35">
      <c r="B50" s="6" t="s">
        <v>82</v>
      </c>
      <c r="C50" s="15" t="s">
        <v>90</v>
      </c>
      <c r="D50" s="12" t="s">
        <v>91</v>
      </c>
      <c r="E50" s="10" t="s">
        <v>90</v>
      </c>
      <c r="F50" s="12" t="s">
        <v>91</v>
      </c>
      <c r="G50" s="10" t="s">
        <v>90</v>
      </c>
      <c r="H50" s="12" t="s">
        <v>91</v>
      </c>
      <c r="I50" s="10" t="s">
        <v>90</v>
      </c>
      <c r="J50" s="12" t="s">
        <v>91</v>
      </c>
      <c r="K50" s="10" t="s">
        <v>90</v>
      </c>
      <c r="L50" s="12" t="s">
        <v>91</v>
      </c>
    </row>
    <row r="51" spans="2:12" x14ac:dyDescent="0.35">
      <c r="B51" s="6" t="s">
        <v>77</v>
      </c>
      <c r="C51" s="16" t="s">
        <v>136</v>
      </c>
      <c r="D51" s="13" t="s">
        <v>137</v>
      </c>
      <c r="E51" s="6" t="s">
        <v>138</v>
      </c>
      <c r="F51" s="14" t="s">
        <v>138</v>
      </c>
      <c r="G51" s="6" t="s">
        <v>137</v>
      </c>
      <c r="H51" s="14" t="s">
        <v>137</v>
      </c>
      <c r="I51" s="6" t="s">
        <v>137</v>
      </c>
      <c r="J51" s="14" t="s">
        <v>137</v>
      </c>
      <c r="K51" s="6" t="s">
        <v>137</v>
      </c>
      <c r="L51" s="14" t="s">
        <v>140</v>
      </c>
    </row>
    <row r="52" spans="2:12" x14ac:dyDescent="0.35">
      <c r="B52" s="6" t="s">
        <v>76</v>
      </c>
      <c r="C52" s="16" t="s">
        <v>158</v>
      </c>
      <c r="D52" s="14" t="s">
        <v>161</v>
      </c>
      <c r="E52" s="6" t="s">
        <v>175</v>
      </c>
      <c r="F52" s="14" t="s">
        <v>176</v>
      </c>
      <c r="G52" s="6" t="s">
        <v>139</v>
      </c>
      <c r="H52" s="14" t="s">
        <v>140</v>
      </c>
      <c r="I52" s="6" t="s">
        <v>140</v>
      </c>
      <c r="J52" s="14" t="s">
        <v>146</v>
      </c>
      <c r="K52" s="6" t="s">
        <v>141</v>
      </c>
      <c r="L52" s="14" t="s">
        <v>177</v>
      </c>
    </row>
    <row r="53" spans="2:12" x14ac:dyDescent="0.35">
      <c r="B53" s="6" t="s">
        <v>79</v>
      </c>
      <c r="C53" s="16" t="s">
        <v>178</v>
      </c>
      <c r="D53" s="14" t="s">
        <v>160</v>
      </c>
      <c r="E53" s="6" t="s">
        <v>155</v>
      </c>
      <c r="F53" s="14" t="s">
        <v>150</v>
      </c>
      <c r="G53" s="6" t="s">
        <v>179</v>
      </c>
      <c r="H53" s="14" t="s">
        <v>180</v>
      </c>
      <c r="I53" s="6" t="s">
        <v>155</v>
      </c>
      <c r="J53" s="14" t="s">
        <v>181</v>
      </c>
      <c r="K53" s="6" t="s">
        <v>150</v>
      </c>
      <c r="L53" s="14" t="s">
        <v>182</v>
      </c>
    </row>
    <row r="54" spans="2:12" x14ac:dyDescent="0.35">
      <c r="B54" s="6" t="s">
        <v>81</v>
      </c>
      <c r="C54" s="16" t="s">
        <v>137</v>
      </c>
      <c r="D54" s="14" t="s">
        <v>137</v>
      </c>
      <c r="E54" s="6" t="s">
        <v>139</v>
      </c>
      <c r="F54" s="14" t="s">
        <v>158</v>
      </c>
      <c r="G54" s="6" t="s">
        <v>139</v>
      </c>
      <c r="H54" s="14" t="s">
        <v>158</v>
      </c>
      <c r="I54" s="6" t="s">
        <v>138</v>
      </c>
      <c r="J54" s="14" t="s">
        <v>139</v>
      </c>
      <c r="K54" s="6" t="s">
        <v>159</v>
      </c>
      <c r="L54" s="14" t="s">
        <v>183</v>
      </c>
    </row>
    <row r="55" spans="2:12" x14ac:dyDescent="0.35">
      <c r="B55" s="6" t="s">
        <v>78</v>
      </c>
      <c r="C55" s="16" t="s">
        <v>158</v>
      </c>
      <c r="D55" s="14" t="s">
        <v>140</v>
      </c>
      <c r="E55" s="6" t="s">
        <v>140</v>
      </c>
      <c r="F55" s="14" t="s">
        <v>142</v>
      </c>
      <c r="G55" s="6" t="s">
        <v>162</v>
      </c>
      <c r="H55" s="14" t="s">
        <v>184</v>
      </c>
      <c r="I55" s="6" t="s">
        <v>164</v>
      </c>
      <c r="J55" s="14" t="s">
        <v>146</v>
      </c>
      <c r="K55" s="6" t="s">
        <v>138</v>
      </c>
      <c r="L55" s="14" t="s">
        <v>139</v>
      </c>
    </row>
    <row r="56" spans="2:12" x14ac:dyDescent="0.35">
      <c r="B56" s="6" t="s">
        <v>80</v>
      </c>
      <c r="C56" s="16" t="s">
        <v>136</v>
      </c>
      <c r="D56" s="14" t="s">
        <v>137</v>
      </c>
      <c r="E56" s="6" t="s">
        <v>137</v>
      </c>
      <c r="F56" s="14" t="s">
        <v>138</v>
      </c>
      <c r="G56" s="6" t="s">
        <v>139</v>
      </c>
      <c r="H56" s="14" t="s">
        <v>139</v>
      </c>
      <c r="I56" s="6" t="s">
        <v>137</v>
      </c>
      <c r="J56" s="14" t="s">
        <v>137</v>
      </c>
      <c r="K56" s="6" t="s">
        <v>139</v>
      </c>
      <c r="L56" s="14" t="s">
        <v>158</v>
      </c>
    </row>
    <row r="57" spans="2:12" x14ac:dyDescent="0.35">
      <c r="B57" s="6" t="s">
        <v>75</v>
      </c>
      <c r="C57" s="16" t="s">
        <v>185</v>
      </c>
      <c r="D57" s="14" t="s">
        <v>186</v>
      </c>
      <c r="E57" s="6" t="s">
        <v>178</v>
      </c>
      <c r="F57" s="14" t="s">
        <v>187</v>
      </c>
      <c r="G57" s="6" t="s">
        <v>188</v>
      </c>
      <c r="H57" s="14" t="s">
        <v>189</v>
      </c>
      <c r="I57" s="6" t="s">
        <v>190</v>
      </c>
      <c r="J57" s="14" t="s">
        <v>191</v>
      </c>
      <c r="K57" s="6" t="s">
        <v>192</v>
      </c>
      <c r="L57" s="14" t="s">
        <v>193</v>
      </c>
    </row>
  </sheetData>
  <mergeCells count="23">
    <mergeCell ref="C49:D49"/>
    <mergeCell ref="E49:F49"/>
    <mergeCell ref="G49:H49"/>
    <mergeCell ref="I49:J49"/>
    <mergeCell ref="K49:L49"/>
    <mergeCell ref="C37:K37"/>
    <mergeCell ref="C38:D38"/>
    <mergeCell ref="E38:F38"/>
    <mergeCell ref="G38:H38"/>
    <mergeCell ref="I38:J38"/>
    <mergeCell ref="K38:L38"/>
    <mergeCell ref="C26:K26"/>
    <mergeCell ref="C27:D27"/>
    <mergeCell ref="E27:F27"/>
    <mergeCell ref="G27:H27"/>
    <mergeCell ref="I27:J27"/>
    <mergeCell ref="K27:L27"/>
    <mergeCell ref="C13:K13"/>
    <mergeCell ref="C14:D14"/>
    <mergeCell ref="E14:F14"/>
    <mergeCell ref="G14:H14"/>
    <mergeCell ref="I14:J14"/>
    <mergeCell ref="K14:L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2DB4-46A0-4FB7-B855-3508BEC84BF0}">
  <dimension ref="A1:K27"/>
  <sheetViews>
    <sheetView tabSelected="1" workbookViewId="0">
      <selection activeCell="D36" sqref="D36"/>
    </sheetView>
  </sheetViews>
  <sheetFormatPr defaultRowHeight="14.5" x14ac:dyDescent="0.35"/>
  <cols>
    <col min="1" max="1" width="28.1796875" customWidth="1"/>
    <col min="2" max="11" width="11.36328125" customWidth="1"/>
  </cols>
  <sheetData>
    <row r="1" spans="1:11" x14ac:dyDescent="0.35">
      <c r="A1" s="20" t="s">
        <v>84</v>
      </c>
      <c r="B1" s="21" t="s">
        <v>85</v>
      </c>
      <c r="C1" s="22"/>
      <c r="D1" s="23" t="s">
        <v>86</v>
      </c>
      <c r="E1" s="21"/>
      <c r="F1" s="21" t="s">
        <v>87</v>
      </c>
      <c r="G1" s="21"/>
      <c r="H1" s="21" t="s">
        <v>88</v>
      </c>
      <c r="I1" s="21"/>
      <c r="J1" s="21" t="s">
        <v>89</v>
      </c>
      <c r="K1" s="22"/>
    </row>
    <row r="2" spans="1:11" x14ac:dyDescent="0.35">
      <c r="A2" s="6"/>
      <c r="B2" s="15" t="s">
        <v>90</v>
      </c>
      <c r="C2" s="12" t="s">
        <v>91</v>
      </c>
      <c r="D2" s="10" t="s">
        <v>90</v>
      </c>
      <c r="E2" s="12" t="s">
        <v>91</v>
      </c>
      <c r="F2" s="10" t="s">
        <v>90</v>
      </c>
      <c r="G2" s="12" t="s">
        <v>91</v>
      </c>
      <c r="H2" s="10" t="s">
        <v>90</v>
      </c>
      <c r="I2" s="12" t="s">
        <v>91</v>
      </c>
      <c r="J2" s="10" t="s">
        <v>90</v>
      </c>
      <c r="K2" s="12" t="s">
        <v>91</v>
      </c>
    </row>
    <row r="3" spans="1:11" x14ac:dyDescent="0.35">
      <c r="A3" s="6" t="s">
        <v>77</v>
      </c>
      <c r="B3" s="16" t="s">
        <v>171</v>
      </c>
      <c r="C3" s="13" t="s">
        <v>194</v>
      </c>
      <c r="D3" s="6" t="s">
        <v>195</v>
      </c>
      <c r="E3" s="14" t="s">
        <v>150</v>
      </c>
      <c r="F3" s="6" t="s">
        <v>191</v>
      </c>
      <c r="G3" s="14" t="s">
        <v>154</v>
      </c>
      <c r="H3" s="6" t="s">
        <v>196</v>
      </c>
      <c r="I3" s="14" t="s">
        <v>155</v>
      </c>
      <c r="J3" s="6" t="s">
        <v>155</v>
      </c>
      <c r="K3" s="14" t="s">
        <v>152</v>
      </c>
    </row>
    <row r="4" spans="1:11" x14ac:dyDescent="0.35">
      <c r="A4" s="6" t="s">
        <v>198</v>
      </c>
      <c r="B4" s="16" t="s">
        <v>194</v>
      </c>
      <c r="C4" s="14" t="s">
        <v>180</v>
      </c>
      <c r="D4" s="6" t="s">
        <v>150</v>
      </c>
      <c r="E4" s="14" t="s">
        <v>179</v>
      </c>
      <c r="F4" s="6" t="s">
        <v>185</v>
      </c>
      <c r="G4" s="14" t="s">
        <v>165</v>
      </c>
      <c r="H4" s="6" t="s">
        <v>197</v>
      </c>
      <c r="I4" s="14" t="s">
        <v>165</v>
      </c>
      <c r="J4" s="6" t="s">
        <v>195</v>
      </c>
      <c r="K4" s="14" t="s">
        <v>194</v>
      </c>
    </row>
    <row r="5" spans="1:11" x14ac:dyDescent="0.35">
      <c r="A5" s="6" t="s">
        <v>199</v>
      </c>
      <c r="B5" s="16" t="s">
        <v>136</v>
      </c>
      <c r="C5" s="14" t="s">
        <v>136</v>
      </c>
      <c r="D5" s="6" t="s">
        <v>136</v>
      </c>
      <c r="E5" s="14" t="s">
        <v>136</v>
      </c>
      <c r="F5" s="6" t="s">
        <v>136</v>
      </c>
      <c r="G5" s="14" t="s">
        <v>137</v>
      </c>
      <c r="H5" s="6" t="s">
        <v>136</v>
      </c>
      <c r="I5" s="14" t="s">
        <v>136</v>
      </c>
      <c r="J5" s="6" t="s">
        <v>137</v>
      </c>
      <c r="K5" s="14" t="s">
        <v>158</v>
      </c>
    </row>
    <row r="6" spans="1:11" x14ac:dyDescent="0.35">
      <c r="A6" s="6" t="s">
        <v>200</v>
      </c>
      <c r="B6" s="16" t="s">
        <v>136</v>
      </c>
      <c r="C6" s="14" t="s">
        <v>136</v>
      </c>
      <c r="D6" s="6" t="s">
        <v>136</v>
      </c>
      <c r="E6" s="14" t="s">
        <v>136</v>
      </c>
      <c r="F6" s="6" t="s">
        <v>136</v>
      </c>
      <c r="G6" s="14" t="s">
        <v>136</v>
      </c>
      <c r="H6" s="6" t="s">
        <v>136</v>
      </c>
      <c r="I6" s="14" t="s">
        <v>136</v>
      </c>
      <c r="J6" s="6" t="s">
        <v>136</v>
      </c>
      <c r="K6" s="14" t="s">
        <v>138</v>
      </c>
    </row>
    <row r="7" spans="1:11" x14ac:dyDescent="0.35">
      <c r="A7" s="6" t="s">
        <v>201</v>
      </c>
      <c r="B7" s="16" t="s">
        <v>136</v>
      </c>
      <c r="C7" s="14" t="s">
        <v>136</v>
      </c>
      <c r="D7" s="6" t="s">
        <v>136</v>
      </c>
      <c r="E7" s="14" t="s">
        <v>136</v>
      </c>
      <c r="F7" s="6" t="s">
        <v>136</v>
      </c>
      <c r="G7" s="14" t="s">
        <v>136</v>
      </c>
      <c r="H7" s="6" t="s">
        <v>136</v>
      </c>
      <c r="I7" s="14" t="s">
        <v>136</v>
      </c>
      <c r="J7" s="6" t="s">
        <v>136</v>
      </c>
      <c r="K7" s="14" t="s">
        <v>136</v>
      </c>
    </row>
    <row r="8" spans="1:11" x14ac:dyDescent="0.35">
      <c r="A8" s="6" t="s">
        <v>202</v>
      </c>
      <c r="B8" s="16" t="s">
        <v>136</v>
      </c>
      <c r="C8" s="14" t="s">
        <v>136</v>
      </c>
      <c r="D8" s="6" t="s">
        <v>136</v>
      </c>
      <c r="E8" s="14" t="s">
        <v>136</v>
      </c>
      <c r="F8" s="6" t="s">
        <v>136</v>
      </c>
      <c r="G8" s="14" t="s">
        <v>136</v>
      </c>
      <c r="H8" s="6" t="s">
        <v>136</v>
      </c>
      <c r="I8" s="14" t="s">
        <v>136</v>
      </c>
      <c r="J8" s="6" t="s">
        <v>136</v>
      </c>
      <c r="K8" s="14" t="s">
        <v>136</v>
      </c>
    </row>
    <row r="9" spans="1:11" x14ac:dyDescent="0.35">
      <c r="A9" s="6" t="s">
        <v>75</v>
      </c>
      <c r="B9" s="16" t="s">
        <v>136</v>
      </c>
      <c r="C9" s="14" t="s">
        <v>137</v>
      </c>
      <c r="D9" s="6" t="s">
        <v>137</v>
      </c>
      <c r="E9" s="14" t="s">
        <v>138</v>
      </c>
      <c r="F9" s="6" t="s">
        <v>137</v>
      </c>
      <c r="G9" s="14" t="s">
        <v>137</v>
      </c>
      <c r="H9" s="6" t="s">
        <v>137</v>
      </c>
      <c r="I9" s="14" t="s">
        <v>137</v>
      </c>
      <c r="J9" s="6" t="s">
        <v>137</v>
      </c>
      <c r="K9" s="14" t="s">
        <v>139</v>
      </c>
    </row>
    <row r="10" spans="1:11" x14ac:dyDescent="0.35">
      <c r="A10" s="20" t="s">
        <v>135</v>
      </c>
      <c r="B10" s="21" t="s">
        <v>85</v>
      </c>
      <c r="C10" s="22"/>
      <c r="D10" s="23" t="s">
        <v>86</v>
      </c>
      <c r="E10" s="21"/>
      <c r="F10" s="21" t="s">
        <v>87</v>
      </c>
      <c r="G10" s="21"/>
      <c r="H10" s="21" t="s">
        <v>88</v>
      </c>
      <c r="I10" s="21"/>
      <c r="J10" s="21" t="s">
        <v>89</v>
      </c>
      <c r="K10" s="22"/>
    </row>
    <row r="11" spans="1:11" x14ac:dyDescent="0.35">
      <c r="A11" s="6"/>
      <c r="B11" s="15" t="s">
        <v>90</v>
      </c>
      <c r="C11" s="12" t="s">
        <v>91</v>
      </c>
      <c r="D11" s="10" t="s">
        <v>90</v>
      </c>
      <c r="E11" s="12" t="s">
        <v>91</v>
      </c>
      <c r="F11" s="10" t="s">
        <v>90</v>
      </c>
      <c r="G11" s="12" t="s">
        <v>91</v>
      </c>
      <c r="H11" s="10" t="s">
        <v>90</v>
      </c>
      <c r="I11" s="12" t="s">
        <v>91</v>
      </c>
      <c r="J11" s="10" t="s">
        <v>90</v>
      </c>
      <c r="K11" s="12" t="s">
        <v>91</v>
      </c>
    </row>
    <row r="12" spans="1:11" x14ac:dyDescent="0.35">
      <c r="A12" s="6" t="s">
        <v>77</v>
      </c>
      <c r="B12" s="16" t="s">
        <v>136</v>
      </c>
      <c r="C12" s="13" t="s">
        <v>137</v>
      </c>
      <c r="D12" s="6" t="s">
        <v>138</v>
      </c>
      <c r="E12" s="14" t="s">
        <v>139</v>
      </c>
      <c r="F12" s="6" t="s">
        <v>137</v>
      </c>
      <c r="G12" s="14" t="s">
        <v>137</v>
      </c>
      <c r="H12" s="6" t="s">
        <v>137</v>
      </c>
      <c r="I12" s="14" t="s">
        <v>137</v>
      </c>
      <c r="J12" s="6" t="s">
        <v>137</v>
      </c>
      <c r="K12" s="14" t="s">
        <v>140</v>
      </c>
    </row>
    <row r="13" spans="1:11" x14ac:dyDescent="0.35">
      <c r="A13" s="6" t="s">
        <v>198</v>
      </c>
      <c r="B13" s="16" t="s">
        <v>141</v>
      </c>
      <c r="C13" s="14" t="s">
        <v>142</v>
      </c>
      <c r="D13" s="6" t="s">
        <v>143</v>
      </c>
      <c r="E13" s="14" t="s">
        <v>144</v>
      </c>
      <c r="F13" s="6" t="s">
        <v>139</v>
      </c>
      <c r="G13" s="14" t="s">
        <v>140</v>
      </c>
      <c r="H13" s="6" t="s">
        <v>145</v>
      </c>
      <c r="I13" s="14" t="s">
        <v>146</v>
      </c>
      <c r="J13" s="6" t="s">
        <v>141</v>
      </c>
      <c r="K13" s="14" t="s">
        <v>147</v>
      </c>
    </row>
    <row r="14" spans="1:11" x14ac:dyDescent="0.35">
      <c r="A14" s="6" t="s">
        <v>199</v>
      </c>
      <c r="B14" s="16" t="s">
        <v>148</v>
      </c>
      <c r="C14" s="14" t="s">
        <v>149</v>
      </c>
      <c r="D14" s="6" t="s">
        <v>150</v>
      </c>
      <c r="E14" s="14" t="s">
        <v>151</v>
      </c>
      <c r="F14" s="6" t="s">
        <v>152</v>
      </c>
      <c r="G14" s="14" t="s">
        <v>153</v>
      </c>
      <c r="H14" s="6" t="s">
        <v>154</v>
      </c>
      <c r="I14" s="14" t="s">
        <v>155</v>
      </c>
      <c r="J14" s="6" t="s">
        <v>156</v>
      </c>
      <c r="K14" s="14" t="s">
        <v>157</v>
      </c>
    </row>
    <row r="15" spans="1:11" x14ac:dyDescent="0.35">
      <c r="A15" s="6" t="s">
        <v>200</v>
      </c>
      <c r="B15" s="16" t="s">
        <v>137</v>
      </c>
      <c r="C15" s="14" t="s">
        <v>137</v>
      </c>
      <c r="D15" s="6" t="s">
        <v>139</v>
      </c>
      <c r="E15" s="14" t="s">
        <v>158</v>
      </c>
      <c r="F15" s="6" t="s">
        <v>139</v>
      </c>
      <c r="G15" s="14" t="s">
        <v>158</v>
      </c>
      <c r="H15" s="6" t="s">
        <v>138</v>
      </c>
      <c r="I15" s="14" t="s">
        <v>139</v>
      </c>
      <c r="J15" s="6" t="s">
        <v>159</v>
      </c>
      <c r="K15" s="14" t="s">
        <v>160</v>
      </c>
    </row>
    <row r="16" spans="1:11" x14ac:dyDescent="0.35">
      <c r="A16" s="6" t="s">
        <v>201</v>
      </c>
      <c r="B16" s="16" t="s">
        <v>158</v>
      </c>
      <c r="C16" s="14" t="s">
        <v>158</v>
      </c>
      <c r="D16" s="6" t="s">
        <v>145</v>
      </c>
      <c r="E16" s="14" t="s">
        <v>161</v>
      </c>
      <c r="F16" s="6" t="s">
        <v>162</v>
      </c>
      <c r="G16" s="14" t="s">
        <v>163</v>
      </c>
      <c r="H16" s="6" t="s">
        <v>164</v>
      </c>
      <c r="I16" s="14" t="s">
        <v>161</v>
      </c>
      <c r="J16" s="6" t="s">
        <v>138</v>
      </c>
      <c r="K16" s="14" t="s">
        <v>139</v>
      </c>
    </row>
    <row r="17" spans="1:11" x14ac:dyDescent="0.35">
      <c r="A17" s="6" t="s">
        <v>202</v>
      </c>
      <c r="B17" s="16" t="s">
        <v>136</v>
      </c>
      <c r="C17" s="14" t="s">
        <v>136</v>
      </c>
      <c r="D17" s="6" t="s">
        <v>137</v>
      </c>
      <c r="E17" s="14" t="s">
        <v>138</v>
      </c>
      <c r="F17" s="6" t="s">
        <v>138</v>
      </c>
      <c r="G17" s="14" t="s">
        <v>139</v>
      </c>
      <c r="H17" s="6" t="s">
        <v>137</v>
      </c>
      <c r="I17" s="14" t="s">
        <v>137</v>
      </c>
      <c r="J17" s="6" t="s">
        <v>139</v>
      </c>
      <c r="K17" s="14" t="s">
        <v>139</v>
      </c>
    </row>
    <row r="18" spans="1:11" x14ac:dyDescent="0.35">
      <c r="A18" s="6" t="s">
        <v>75</v>
      </c>
      <c r="B18" s="16" t="s">
        <v>165</v>
      </c>
      <c r="C18" s="14" t="s">
        <v>166</v>
      </c>
      <c r="D18" s="6" t="s">
        <v>167</v>
      </c>
      <c r="E18" s="14" t="s">
        <v>168</v>
      </c>
      <c r="F18" s="6" t="s">
        <v>167</v>
      </c>
      <c r="G18" s="14" t="s">
        <v>169</v>
      </c>
      <c r="H18" s="6" t="s">
        <v>170</v>
      </c>
      <c r="I18" s="14" t="s">
        <v>171</v>
      </c>
      <c r="J18" s="6" t="s">
        <v>172</v>
      </c>
      <c r="K18" s="14" t="s">
        <v>173</v>
      </c>
    </row>
    <row r="19" spans="1:11" x14ac:dyDescent="0.35">
      <c r="A19" s="20" t="s">
        <v>174</v>
      </c>
      <c r="B19" s="21" t="s">
        <v>85</v>
      </c>
      <c r="C19" s="22"/>
      <c r="D19" s="23" t="s">
        <v>86</v>
      </c>
      <c r="E19" s="21"/>
      <c r="F19" s="21" t="s">
        <v>87</v>
      </c>
      <c r="G19" s="21"/>
      <c r="H19" s="21" t="s">
        <v>88</v>
      </c>
      <c r="I19" s="21"/>
      <c r="J19" s="21" t="s">
        <v>89</v>
      </c>
      <c r="K19" s="22"/>
    </row>
    <row r="20" spans="1:11" x14ac:dyDescent="0.35">
      <c r="A20" s="6"/>
      <c r="B20" s="15" t="s">
        <v>90</v>
      </c>
      <c r="C20" s="12" t="s">
        <v>91</v>
      </c>
      <c r="D20" s="10" t="s">
        <v>90</v>
      </c>
      <c r="E20" s="12" t="s">
        <v>91</v>
      </c>
      <c r="F20" s="10" t="s">
        <v>90</v>
      </c>
      <c r="G20" s="12" t="s">
        <v>91</v>
      </c>
      <c r="H20" s="10" t="s">
        <v>90</v>
      </c>
      <c r="I20" s="12" t="s">
        <v>91</v>
      </c>
      <c r="J20" s="10" t="s">
        <v>90</v>
      </c>
      <c r="K20" s="12" t="s">
        <v>91</v>
      </c>
    </row>
    <row r="21" spans="1:11" x14ac:dyDescent="0.35">
      <c r="A21" s="6" t="s">
        <v>77</v>
      </c>
      <c r="B21" s="16" t="s">
        <v>136</v>
      </c>
      <c r="C21" s="13" t="s">
        <v>137</v>
      </c>
      <c r="D21" s="6" t="s">
        <v>138</v>
      </c>
      <c r="E21" s="14" t="s">
        <v>138</v>
      </c>
      <c r="F21" s="6" t="s">
        <v>137</v>
      </c>
      <c r="G21" s="14" t="s">
        <v>137</v>
      </c>
      <c r="H21" s="6" t="s">
        <v>137</v>
      </c>
      <c r="I21" s="14" t="s">
        <v>137</v>
      </c>
      <c r="J21" s="6" t="s">
        <v>137</v>
      </c>
      <c r="K21" s="14" t="s">
        <v>140</v>
      </c>
    </row>
    <row r="22" spans="1:11" x14ac:dyDescent="0.35">
      <c r="A22" s="6" t="s">
        <v>198</v>
      </c>
      <c r="B22" s="16" t="s">
        <v>158</v>
      </c>
      <c r="C22" s="14" t="s">
        <v>161</v>
      </c>
      <c r="D22" s="6" t="s">
        <v>175</v>
      </c>
      <c r="E22" s="14" t="s">
        <v>176</v>
      </c>
      <c r="F22" s="6" t="s">
        <v>139</v>
      </c>
      <c r="G22" s="14" t="s">
        <v>140</v>
      </c>
      <c r="H22" s="6" t="s">
        <v>140</v>
      </c>
      <c r="I22" s="14" t="s">
        <v>146</v>
      </c>
      <c r="J22" s="6" t="s">
        <v>141</v>
      </c>
      <c r="K22" s="14" t="s">
        <v>177</v>
      </c>
    </row>
    <row r="23" spans="1:11" x14ac:dyDescent="0.35">
      <c r="A23" s="6" t="s">
        <v>199</v>
      </c>
      <c r="B23" s="16" t="s">
        <v>178</v>
      </c>
      <c r="C23" s="14" t="s">
        <v>160</v>
      </c>
      <c r="D23" s="6" t="s">
        <v>155</v>
      </c>
      <c r="E23" s="14" t="s">
        <v>150</v>
      </c>
      <c r="F23" s="6" t="s">
        <v>179</v>
      </c>
      <c r="G23" s="14" t="s">
        <v>180</v>
      </c>
      <c r="H23" s="6" t="s">
        <v>155</v>
      </c>
      <c r="I23" s="14" t="s">
        <v>181</v>
      </c>
      <c r="J23" s="6" t="s">
        <v>150</v>
      </c>
      <c r="K23" s="14" t="s">
        <v>182</v>
      </c>
    </row>
    <row r="24" spans="1:11" x14ac:dyDescent="0.35">
      <c r="A24" s="6" t="s">
        <v>200</v>
      </c>
      <c r="B24" s="16" t="s">
        <v>137</v>
      </c>
      <c r="C24" s="14" t="s">
        <v>137</v>
      </c>
      <c r="D24" s="6" t="s">
        <v>139</v>
      </c>
      <c r="E24" s="14" t="s">
        <v>158</v>
      </c>
      <c r="F24" s="6" t="s">
        <v>139</v>
      </c>
      <c r="G24" s="14" t="s">
        <v>158</v>
      </c>
      <c r="H24" s="6" t="s">
        <v>138</v>
      </c>
      <c r="I24" s="14" t="s">
        <v>139</v>
      </c>
      <c r="J24" s="6" t="s">
        <v>159</v>
      </c>
      <c r="K24" s="14" t="s">
        <v>183</v>
      </c>
    </row>
    <row r="25" spans="1:11" x14ac:dyDescent="0.35">
      <c r="A25" s="6" t="s">
        <v>201</v>
      </c>
      <c r="B25" s="16" t="s">
        <v>158</v>
      </c>
      <c r="C25" s="14" t="s">
        <v>140</v>
      </c>
      <c r="D25" s="6" t="s">
        <v>140</v>
      </c>
      <c r="E25" s="14" t="s">
        <v>142</v>
      </c>
      <c r="F25" s="6" t="s">
        <v>162</v>
      </c>
      <c r="G25" s="14" t="s">
        <v>184</v>
      </c>
      <c r="H25" s="6" t="s">
        <v>164</v>
      </c>
      <c r="I25" s="14" t="s">
        <v>146</v>
      </c>
      <c r="J25" s="6" t="s">
        <v>138</v>
      </c>
      <c r="K25" s="14" t="s">
        <v>139</v>
      </c>
    </row>
    <row r="26" spans="1:11" x14ac:dyDescent="0.35">
      <c r="A26" s="6" t="s">
        <v>202</v>
      </c>
      <c r="B26" s="16" t="s">
        <v>136</v>
      </c>
      <c r="C26" s="14" t="s">
        <v>137</v>
      </c>
      <c r="D26" s="6" t="s">
        <v>137</v>
      </c>
      <c r="E26" s="14" t="s">
        <v>138</v>
      </c>
      <c r="F26" s="6" t="s">
        <v>139</v>
      </c>
      <c r="G26" s="14" t="s">
        <v>139</v>
      </c>
      <c r="H26" s="6" t="s">
        <v>137</v>
      </c>
      <c r="I26" s="14" t="s">
        <v>137</v>
      </c>
      <c r="J26" s="6" t="s">
        <v>139</v>
      </c>
      <c r="K26" s="14" t="s">
        <v>158</v>
      </c>
    </row>
    <row r="27" spans="1:11" x14ac:dyDescent="0.35">
      <c r="A27" s="17" t="s">
        <v>75</v>
      </c>
      <c r="B27" s="24" t="s">
        <v>185</v>
      </c>
      <c r="C27" s="25" t="s">
        <v>186</v>
      </c>
      <c r="D27" s="17" t="s">
        <v>178</v>
      </c>
      <c r="E27" s="25" t="s">
        <v>187</v>
      </c>
      <c r="F27" s="17" t="s">
        <v>188</v>
      </c>
      <c r="G27" s="25" t="s">
        <v>189</v>
      </c>
      <c r="H27" s="17" t="s">
        <v>190</v>
      </c>
      <c r="I27" s="25" t="s">
        <v>191</v>
      </c>
      <c r="J27" s="17" t="s">
        <v>192</v>
      </c>
      <c r="K27" s="25" t="s">
        <v>193</v>
      </c>
    </row>
  </sheetData>
  <mergeCells count="15">
    <mergeCell ref="B10:C10"/>
    <mergeCell ref="D10:E10"/>
    <mergeCell ref="F10:G10"/>
    <mergeCell ref="H10:I10"/>
    <mergeCell ref="J10:K10"/>
    <mergeCell ref="B19:C19"/>
    <mergeCell ref="D19:E19"/>
    <mergeCell ref="F19:G19"/>
    <mergeCell ref="H19:I19"/>
    <mergeCell ref="J19:K19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D064-276C-4F30-BE13-84FED022E2BE}">
  <dimension ref="A1:BY35"/>
  <sheetViews>
    <sheetView workbookViewId="0">
      <selection activeCell="C29" sqref="C29"/>
    </sheetView>
  </sheetViews>
  <sheetFormatPr defaultRowHeight="14.5" x14ac:dyDescent="0.35"/>
  <cols>
    <col min="1" max="1" width="9.26953125" bestFit="1" customWidth="1"/>
    <col min="2" max="2" width="34.1796875" bestFit="1" customWidth="1"/>
    <col min="3" max="12" width="13.08984375" customWidth="1"/>
  </cols>
  <sheetData>
    <row r="1" spans="1:77" x14ac:dyDescent="0.35">
      <c r="B1" t="s">
        <v>82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</row>
    <row r="2" spans="1:77" x14ac:dyDescent="0.35">
      <c r="B2" t="s">
        <v>75</v>
      </c>
      <c r="C2" s="1">
        <v>4.5727066224091097E-3</v>
      </c>
      <c r="D2" s="1">
        <v>1.81043317481085E-3</v>
      </c>
      <c r="E2" s="1">
        <v>9.3948076890675303E-3</v>
      </c>
      <c r="F2" s="1">
        <v>3.0834691085247198E-4</v>
      </c>
      <c r="G2" s="1">
        <v>4.8221010666584102E-3</v>
      </c>
      <c r="H2" s="1">
        <v>0.622334518467617</v>
      </c>
      <c r="I2" s="1">
        <v>1.48942896819718E-2</v>
      </c>
      <c r="J2" s="1">
        <v>0.64219279279059505</v>
      </c>
      <c r="K2" s="1">
        <v>1.0340766301267901E-2</v>
      </c>
      <c r="L2" s="1">
        <v>1.9858274322978701E-2</v>
      </c>
      <c r="M2" s="1">
        <v>0.56435683597229003</v>
      </c>
      <c r="N2" s="1">
        <v>1.30204545724743E-2</v>
      </c>
      <c r="O2" s="1">
        <v>0.58807518375243495</v>
      </c>
      <c r="P2" s="1">
        <v>1.16738326165084E-2</v>
      </c>
      <c r="Q2" s="1">
        <v>2.37183477801447E-2</v>
      </c>
      <c r="R2" s="1">
        <v>1.07248673413591E-2</v>
      </c>
      <c r="S2" s="1">
        <v>2.6603088672245701E-3</v>
      </c>
      <c r="T2" s="1">
        <v>2.0632010727234001E-2</v>
      </c>
      <c r="U2" s="1">
        <v>7.6981574617564902E-4</v>
      </c>
      <c r="V2" s="1">
        <v>9.9071433858748705E-3</v>
      </c>
      <c r="W2" s="1">
        <v>0.24131834565355201</v>
      </c>
      <c r="X2" s="1">
        <v>9.6582078211267797E-3</v>
      </c>
      <c r="Y2" s="1">
        <v>0.25805279050729502</v>
      </c>
      <c r="Z2" s="1">
        <v>5.2808723708940497E-3</v>
      </c>
      <c r="AA2" s="1">
        <v>1.6734444853742599E-2</v>
      </c>
      <c r="AB2" s="1">
        <v>0.288029221477065</v>
      </c>
      <c r="AC2" s="1">
        <v>1.01223216430728E-2</v>
      </c>
      <c r="AD2" s="1">
        <v>0.30439402834459101</v>
      </c>
      <c r="AE2" s="1">
        <v>6.7607452139025999E-3</v>
      </c>
      <c r="AF2" s="1">
        <v>1.6364806867525498E-2</v>
      </c>
      <c r="AG2" s="1">
        <v>5.7449428724155203E-3</v>
      </c>
      <c r="AH2" s="1">
        <v>2.30464363334158E-3</v>
      </c>
      <c r="AI2" s="1">
        <v>1.43725395993435E-2</v>
      </c>
      <c r="AJ2" s="1">
        <v>5.5253646944686502E-4</v>
      </c>
      <c r="AK2" s="1">
        <v>8.6275967269279896E-3</v>
      </c>
      <c r="AL2" s="1">
        <v>0.24483836916328899</v>
      </c>
      <c r="AM2" s="1">
        <v>9.6093091150851791E-3</v>
      </c>
      <c r="AN2" s="1">
        <v>0.25209286721859597</v>
      </c>
      <c r="AO2" s="1">
        <v>4.7899152005588599E-3</v>
      </c>
      <c r="AP2" s="1">
        <v>7.2544980553064797E-3</v>
      </c>
      <c r="AQ2" s="1">
        <v>0.20218959372506101</v>
      </c>
      <c r="AR2" s="1">
        <v>8.2648566621951695E-3</v>
      </c>
      <c r="AS2" s="1">
        <v>0.210892319445454</v>
      </c>
      <c r="AT2" s="1">
        <v>4.5745971950099202E-3</v>
      </c>
      <c r="AU2" s="1">
        <v>8.7027257203932604E-3</v>
      </c>
      <c r="AV2" s="1">
        <v>5.9276886502375899E-3</v>
      </c>
      <c r="AW2" s="1">
        <v>2.21326900174445E-3</v>
      </c>
      <c r="AX2" s="1">
        <v>1.29365277472049E-2</v>
      </c>
      <c r="AY2" s="1">
        <v>4.67273473242633E-4</v>
      </c>
      <c r="AZ2" s="1">
        <v>7.0088390969673701E-3</v>
      </c>
      <c r="BA2" s="1">
        <v>0.380732209869871</v>
      </c>
      <c r="BB2" s="1">
        <v>1.1897963286799099E-2</v>
      </c>
      <c r="BC2" s="1">
        <v>0.39448755157578602</v>
      </c>
      <c r="BD2" s="1">
        <v>7.1487790825131301E-3</v>
      </c>
      <c r="BE2" s="1">
        <v>1.3755341705914701E-2</v>
      </c>
      <c r="BF2" s="1">
        <v>0.34729248822111303</v>
      </c>
      <c r="BG2" s="1">
        <v>1.03296682214897E-2</v>
      </c>
      <c r="BH2" s="1">
        <v>0.361610010171457</v>
      </c>
      <c r="BI2" s="1">
        <v>7.8753153131799099E-3</v>
      </c>
      <c r="BJ2" s="1">
        <v>1.4317521950343901E-2</v>
      </c>
      <c r="BK2" s="1">
        <v>1.2732416078372799E-2</v>
      </c>
      <c r="BL2" s="1">
        <v>3.23656745039125E-3</v>
      </c>
      <c r="BM2" s="1">
        <v>2.72608599280173E-2</v>
      </c>
      <c r="BN2" s="1">
        <v>1.1723428113559399E-3</v>
      </c>
      <c r="BO2" s="1">
        <v>1.4528443849644501E-2</v>
      </c>
      <c r="BP2" s="1">
        <v>0.118855523295919</v>
      </c>
      <c r="BQ2" s="1">
        <v>7.9503409947672896E-3</v>
      </c>
      <c r="BR2" s="1">
        <v>0.16812379613858899</v>
      </c>
      <c r="BS2" s="1">
        <v>6.5187818614565202E-3</v>
      </c>
      <c r="BT2" s="1">
        <v>4.9268272842669103E-2</v>
      </c>
      <c r="BU2" s="1">
        <v>6.7360348404526399E-2</v>
      </c>
      <c r="BV2" s="1">
        <v>7.1443122187536496E-3</v>
      </c>
      <c r="BW2" s="1">
        <v>0.11670405350389799</v>
      </c>
      <c r="BX2" s="1">
        <v>3.2293620026380299E-3</v>
      </c>
      <c r="BY2" s="1">
        <v>4.9343705099372297E-2</v>
      </c>
    </row>
    <row r="3" spans="1:77" x14ac:dyDescent="0.35">
      <c r="B3" t="s">
        <v>76</v>
      </c>
      <c r="C3" s="1">
        <v>0.49634839947421999</v>
      </c>
      <c r="D3" s="1">
        <v>1.36382936282905E-2</v>
      </c>
      <c r="E3" s="1">
        <v>0.59901100654571604</v>
      </c>
      <c r="F3" s="1">
        <v>1.4269153447933501E-2</v>
      </c>
      <c r="G3" s="1">
        <v>0.10266260707149499</v>
      </c>
      <c r="H3" s="1">
        <v>3.3658841103680302E-2</v>
      </c>
      <c r="I3" s="1">
        <v>5.0435234679693996E-3</v>
      </c>
      <c r="J3" s="1">
        <v>6.4447075282633395E-2</v>
      </c>
      <c r="K3" s="1">
        <v>1.8520686663708499E-3</v>
      </c>
      <c r="L3" s="1">
        <v>3.0788234178952999E-2</v>
      </c>
      <c r="M3" s="1">
        <v>4.0386198192599802E-2</v>
      </c>
      <c r="N3" s="1">
        <v>4.5158254224117404E-3</v>
      </c>
      <c r="O3" s="1">
        <v>7.4151192386411297E-2</v>
      </c>
      <c r="P3" s="1">
        <v>2.3473354866780701E-3</v>
      </c>
      <c r="Q3" s="1">
        <v>3.3764994193811397E-2</v>
      </c>
      <c r="R3" s="1">
        <v>0.493505833186276</v>
      </c>
      <c r="S3" s="1">
        <v>1.35801564647378E-2</v>
      </c>
      <c r="T3" s="1">
        <v>0.58190668393526801</v>
      </c>
      <c r="U3" s="1">
        <v>1.3557160614572201E-2</v>
      </c>
      <c r="V3" s="1">
        <v>8.8400850748991594E-2</v>
      </c>
      <c r="W3" s="1">
        <v>9.5367804211749493E-2</v>
      </c>
      <c r="X3" s="1">
        <v>7.1797772213799396E-3</v>
      </c>
      <c r="Y3" s="1">
        <v>0.140320134401418</v>
      </c>
      <c r="Z3" s="1">
        <v>3.56656504262436E-3</v>
      </c>
      <c r="AA3" s="1">
        <v>4.4952330189668599E-2</v>
      </c>
      <c r="AB3" s="1">
        <v>8.8074679974208106E-2</v>
      </c>
      <c r="AC3" s="1">
        <v>6.1338602976092104E-3</v>
      </c>
      <c r="AD3" s="1">
        <v>0.132677883999719</v>
      </c>
      <c r="AE3" s="1">
        <v>3.5149492028061602E-3</v>
      </c>
      <c r="AF3" s="1">
        <v>4.46032040255116E-2</v>
      </c>
      <c r="AG3" s="1">
        <v>0.55519273924292301</v>
      </c>
      <c r="AH3" s="1">
        <v>1.42762873432553E-2</v>
      </c>
      <c r="AI3" s="1">
        <v>0.62232544299675197</v>
      </c>
      <c r="AJ3" s="1">
        <v>1.3604238884273E-2</v>
      </c>
      <c r="AK3" s="1">
        <v>6.7132703753828293E-2</v>
      </c>
      <c r="AL3" s="1">
        <v>2.6588632685450399E-2</v>
      </c>
      <c r="AM3" s="1">
        <v>4.5663418347892601E-3</v>
      </c>
      <c r="AN3" s="1">
        <v>5.18963466042087E-2</v>
      </c>
      <c r="AO3" s="1">
        <v>1.53162317808102E-3</v>
      </c>
      <c r="AP3" s="1">
        <v>2.5307713918758201E-2</v>
      </c>
      <c r="AQ3" s="1">
        <v>2.72271945441067E-2</v>
      </c>
      <c r="AR3" s="1">
        <v>4.03835238011707E-3</v>
      </c>
      <c r="AS3" s="1">
        <v>5.3643434364142199E-2</v>
      </c>
      <c r="AT3" s="1">
        <v>1.6983864976103599E-3</v>
      </c>
      <c r="AU3" s="1">
        <v>2.6416239820035499E-2</v>
      </c>
      <c r="AV3" s="1">
        <v>0.53240062852609904</v>
      </c>
      <c r="AW3" s="1">
        <v>1.4095851590847801E-2</v>
      </c>
      <c r="AX3" s="1">
        <v>0.61986035396067396</v>
      </c>
      <c r="AY3" s="1">
        <v>1.40912810684653E-2</v>
      </c>
      <c r="AZ3" s="1">
        <v>8.7459725434574406E-2</v>
      </c>
      <c r="BA3" s="1">
        <v>4.6226684846766501E-2</v>
      </c>
      <c r="BB3" s="1">
        <v>5.7606162555827499E-3</v>
      </c>
      <c r="BC3" s="1">
        <v>8.0822959249835499E-2</v>
      </c>
      <c r="BD3" s="1">
        <v>2.2598293347925102E-3</v>
      </c>
      <c r="BE3" s="1">
        <v>3.4596274403068998E-2</v>
      </c>
      <c r="BF3" s="1">
        <v>4.8173495252786101E-2</v>
      </c>
      <c r="BG3" s="1">
        <v>4.7830524044224602E-3</v>
      </c>
      <c r="BH3" s="1">
        <v>8.4152754330291901E-2</v>
      </c>
      <c r="BI3" s="1">
        <v>2.5598466746189598E-3</v>
      </c>
      <c r="BJ3" s="1">
        <v>3.5979259077505703E-2</v>
      </c>
      <c r="BK3" s="1">
        <v>0.40274253710896801</v>
      </c>
      <c r="BL3" s="1">
        <v>1.2947392745679499E-2</v>
      </c>
      <c r="BM3" s="1">
        <v>0.50196676397117701</v>
      </c>
      <c r="BN3" s="1">
        <v>1.36848111313531E-2</v>
      </c>
      <c r="BO3" s="1">
        <v>9.9224226862208706E-2</v>
      </c>
      <c r="BP3" s="1">
        <v>2.64464065781541E-2</v>
      </c>
      <c r="BQ3" s="1">
        <v>7.7778641437891999E-3</v>
      </c>
      <c r="BR3" s="1">
        <v>0.152489357255402</v>
      </c>
      <c r="BS3" s="1">
        <v>6.5044361345672399E-3</v>
      </c>
      <c r="BT3" s="1">
        <v>0.12604295067724799</v>
      </c>
      <c r="BU3" s="1">
        <v>2.6465860752950598E-2</v>
      </c>
      <c r="BV3" s="1">
        <v>7.9705251155760392E-3</v>
      </c>
      <c r="BW3" s="1">
        <v>0.15658843714693599</v>
      </c>
      <c r="BX3" s="1">
        <v>6.5941463045766403E-3</v>
      </c>
      <c r="BY3" s="1">
        <v>0.130122576393985</v>
      </c>
    </row>
    <row r="4" spans="1:77" x14ac:dyDescent="0.35">
      <c r="B4" t="s">
        <v>77</v>
      </c>
      <c r="C4" s="1">
        <v>0.39451983052824502</v>
      </c>
      <c r="D4" s="1">
        <v>1.4392991585116401E-2</v>
      </c>
      <c r="E4" s="1">
        <v>0.49557810018459603</v>
      </c>
      <c r="F4" s="1">
        <v>1.27500679289084E-2</v>
      </c>
      <c r="G4" s="1">
        <v>0.10105826965634999</v>
      </c>
      <c r="H4" s="1">
        <v>2.86350906316155E-3</v>
      </c>
      <c r="I4" s="1">
        <v>1.2520087641465099E-3</v>
      </c>
      <c r="J4" s="1">
        <v>5.5261493399204296E-3</v>
      </c>
      <c r="K4" s="1">
        <v>1.9290788907286901E-4</v>
      </c>
      <c r="L4" s="1">
        <v>2.6626402767588701E-3</v>
      </c>
      <c r="M4" s="1">
        <v>3.2607767411552101E-3</v>
      </c>
      <c r="N4" s="1">
        <v>1.6508773480956699E-3</v>
      </c>
      <c r="O4" s="1">
        <v>6.1730100510121403E-3</v>
      </c>
      <c r="P4" s="1">
        <v>2.39436974155061E-4</v>
      </c>
      <c r="Q4" s="1">
        <v>2.9122333098569298E-3</v>
      </c>
      <c r="R4" s="1">
        <v>0.40041048590572098</v>
      </c>
      <c r="S4" s="1">
        <v>1.40161655154662E-2</v>
      </c>
      <c r="T4" s="1">
        <v>0.48624641928668799</v>
      </c>
      <c r="U4" s="1">
        <v>1.2725546239937499E-2</v>
      </c>
      <c r="V4" s="1">
        <v>8.5835933380967205E-2</v>
      </c>
      <c r="W4" s="1">
        <v>1.7335767844158499E-2</v>
      </c>
      <c r="X4" s="1">
        <v>2.9275929336460399E-3</v>
      </c>
      <c r="Y4" s="1">
        <v>2.62444586639594E-2</v>
      </c>
      <c r="Z4" s="1">
        <v>7.9661646469309704E-4</v>
      </c>
      <c r="AA4" s="1">
        <v>8.9086908198008803E-3</v>
      </c>
      <c r="AB4" s="1">
        <v>1.5930315223394099E-2</v>
      </c>
      <c r="AC4" s="1">
        <v>3.4384120327042599E-3</v>
      </c>
      <c r="AD4" s="1">
        <v>2.47620768820224E-2</v>
      </c>
      <c r="AE4" s="1">
        <v>8.0223858786369602E-4</v>
      </c>
      <c r="AF4" s="1">
        <v>8.8317616586283208E-3</v>
      </c>
      <c r="AG4" s="1">
        <v>0.36284693990948902</v>
      </c>
      <c r="AH4" s="1">
        <v>1.2838539287740701E-2</v>
      </c>
      <c r="AI4" s="1">
        <v>0.42682783109754502</v>
      </c>
      <c r="AJ4" s="1">
        <v>1.0761835990724E-2</v>
      </c>
      <c r="AK4" s="1">
        <v>6.3980891188056194E-2</v>
      </c>
      <c r="AL4" s="1">
        <v>6.8606481360005403E-3</v>
      </c>
      <c r="AM4" s="1">
        <v>2.10102528793599E-3</v>
      </c>
      <c r="AN4" s="1">
        <v>1.45749155194995E-2</v>
      </c>
      <c r="AO4" s="1">
        <v>5.70291680907701E-4</v>
      </c>
      <c r="AP4" s="1">
        <v>7.7142673834990202E-3</v>
      </c>
      <c r="AQ4" s="1">
        <v>7.0876158041869803E-3</v>
      </c>
      <c r="AR4" s="1">
        <v>2.6218745898979501E-3</v>
      </c>
      <c r="AS4" s="1">
        <v>1.46024015479459E-2</v>
      </c>
      <c r="AT4" s="1">
        <v>5.9405598216138403E-4</v>
      </c>
      <c r="AU4" s="1">
        <v>7.5147857437589801E-3</v>
      </c>
      <c r="AV4" s="1">
        <v>0.36947058805602001</v>
      </c>
      <c r="AW4" s="1">
        <v>1.35467885897636E-2</v>
      </c>
      <c r="AX4" s="1">
        <v>0.45436969678684802</v>
      </c>
      <c r="AY4" s="1">
        <v>1.16924885988481E-2</v>
      </c>
      <c r="AZ4" s="1">
        <v>8.4899108730827705E-2</v>
      </c>
      <c r="BA4" s="1">
        <v>7.2654093896484901E-3</v>
      </c>
      <c r="BB4" s="1">
        <v>1.86859368381562E-3</v>
      </c>
      <c r="BC4" s="1">
        <v>1.2844824981883499E-2</v>
      </c>
      <c r="BD4" s="1">
        <v>4.3804134948643102E-4</v>
      </c>
      <c r="BE4" s="1">
        <v>5.5794155922350404E-3</v>
      </c>
      <c r="BF4" s="1">
        <v>7.54619149559834E-3</v>
      </c>
      <c r="BG4" s="1">
        <v>2.46969416327448E-3</v>
      </c>
      <c r="BH4" s="1">
        <v>1.3251248831501699E-2</v>
      </c>
      <c r="BI4" s="1">
        <v>4.8905201012379104E-4</v>
      </c>
      <c r="BJ4" s="1">
        <v>5.7050573359033897E-3</v>
      </c>
      <c r="BK4" s="1">
        <v>0.451951877379764</v>
      </c>
      <c r="BL4" s="1">
        <v>1.4569262152473301E-2</v>
      </c>
      <c r="BM4" s="1">
        <v>0.54738649223627101</v>
      </c>
      <c r="BN4" s="1">
        <v>1.4506255383444E-2</v>
      </c>
      <c r="BO4" s="1">
        <v>9.5434614856506603E-2</v>
      </c>
      <c r="BP4" s="1">
        <v>5.0488331821039499E-3</v>
      </c>
      <c r="BQ4" s="1">
        <v>4.5631974788275104E-3</v>
      </c>
      <c r="BR4" s="1">
        <v>5.1283684242378703E-2</v>
      </c>
      <c r="BS4" s="1">
        <v>2.7470971563929602E-3</v>
      </c>
      <c r="BT4" s="1">
        <v>4.6234851060274702E-2</v>
      </c>
      <c r="BU4" s="1">
        <v>5.5272073403442399E-3</v>
      </c>
      <c r="BV4" s="1">
        <v>4.5551971161897501E-3</v>
      </c>
      <c r="BW4" s="1">
        <v>5.3426212800489002E-2</v>
      </c>
      <c r="BX4" s="1">
        <v>2.63734557398305E-3</v>
      </c>
      <c r="BY4" s="1">
        <v>4.7899005460144702E-2</v>
      </c>
    </row>
    <row r="5" spans="1:77" x14ac:dyDescent="0.35">
      <c r="B5" t="s">
        <v>78</v>
      </c>
      <c r="C5" s="1">
        <v>2.2502648909414899E-4</v>
      </c>
      <c r="D5" s="1">
        <v>4.1612286460643099E-4</v>
      </c>
      <c r="E5" s="1">
        <v>6.3077500263036595E-4</v>
      </c>
      <c r="F5" s="1">
        <v>2.1240182101937099E-5</v>
      </c>
      <c r="G5" s="1">
        <v>4.0574851353621598E-4</v>
      </c>
      <c r="H5" s="1">
        <v>3.6960237264112197E-2</v>
      </c>
      <c r="I5" s="1">
        <v>4.4035622885393103E-3</v>
      </c>
      <c r="J5" s="1">
        <v>4.4735559426117601E-2</v>
      </c>
      <c r="K5" s="1">
        <v>1.1984216382766499E-3</v>
      </c>
      <c r="L5" s="1">
        <v>7.7753221620054302E-3</v>
      </c>
      <c r="M5" s="1">
        <v>4.2427248979807299E-2</v>
      </c>
      <c r="N5" s="1">
        <v>4.5305170086287804E-3</v>
      </c>
      <c r="O5" s="1">
        <v>5.1606997742960702E-2</v>
      </c>
      <c r="P5" s="1">
        <v>1.4431401392669199E-3</v>
      </c>
      <c r="Q5" s="1">
        <v>9.1797487631533302E-3</v>
      </c>
      <c r="R5" s="1">
        <v>6.9385965063446602E-4</v>
      </c>
      <c r="S5" s="1">
        <v>5.6474008716397698E-4</v>
      </c>
      <c r="T5" s="1">
        <v>1.29116178845112E-3</v>
      </c>
      <c r="U5" s="1">
        <v>4.2086601718740098E-5</v>
      </c>
      <c r="V5" s="1">
        <v>5.9730213781665497E-4</v>
      </c>
      <c r="W5" s="1">
        <v>5.4171825077579297E-2</v>
      </c>
      <c r="X5" s="1">
        <v>5.2911941366026198E-3</v>
      </c>
      <c r="Y5" s="1">
        <v>6.8639358077413004E-2</v>
      </c>
      <c r="Z5" s="1">
        <v>1.7795206024374601E-3</v>
      </c>
      <c r="AA5" s="1">
        <v>1.44675329998336E-2</v>
      </c>
      <c r="AB5" s="1">
        <v>5.0297125443199898E-2</v>
      </c>
      <c r="AC5" s="1">
        <v>4.9675283478275798E-3</v>
      </c>
      <c r="AD5" s="1">
        <v>6.4348690841370307E-2</v>
      </c>
      <c r="AE5" s="1">
        <v>1.78014736351292E-3</v>
      </c>
      <c r="AF5" s="1">
        <v>1.4051565398170301E-2</v>
      </c>
      <c r="AG5" s="1">
        <v>1.81549710563603E-3</v>
      </c>
      <c r="AH5" s="1">
        <v>8.1578839756012102E-4</v>
      </c>
      <c r="AI5" s="1">
        <v>2.4463172816165299E-3</v>
      </c>
      <c r="AJ5" s="1">
        <v>7.4312135322106306E-5</v>
      </c>
      <c r="AK5" s="1">
        <v>6.3082017598050202E-4</v>
      </c>
      <c r="AL5" s="1">
        <v>7.9448632635456498E-2</v>
      </c>
      <c r="AM5" s="1">
        <v>5.9374531804037498E-3</v>
      </c>
      <c r="AN5" s="1">
        <v>8.9419395124187298E-2</v>
      </c>
      <c r="AO5" s="1">
        <v>2.0103668638606601E-3</v>
      </c>
      <c r="AP5" s="1">
        <v>9.9707624887307392E-3</v>
      </c>
      <c r="AQ5" s="1">
        <v>8.4700451944078797E-2</v>
      </c>
      <c r="AR5" s="1">
        <v>6.1802379422851699E-3</v>
      </c>
      <c r="AS5" s="1">
        <v>9.5168327042889703E-2</v>
      </c>
      <c r="AT5" s="1">
        <v>2.30923607103006E-3</v>
      </c>
      <c r="AU5" s="1">
        <v>1.04678750988109E-2</v>
      </c>
      <c r="AV5" s="1">
        <v>3.83480622414607E-4</v>
      </c>
      <c r="AW5" s="1">
        <v>6.0637656004598295E-4</v>
      </c>
      <c r="AX5" s="1">
        <v>1.20690924089974E-3</v>
      </c>
      <c r="AY5" s="1">
        <v>3.5174627640809299E-5</v>
      </c>
      <c r="AZ5" s="1">
        <v>8.2342861848514002E-4</v>
      </c>
      <c r="BA5" s="1">
        <v>6.0721449169470698E-2</v>
      </c>
      <c r="BB5" s="1">
        <v>5.2939134174833898E-3</v>
      </c>
      <c r="BC5" s="1">
        <v>7.2687646966257805E-2</v>
      </c>
      <c r="BD5" s="1">
        <v>1.81452534838229E-3</v>
      </c>
      <c r="BE5" s="1">
        <v>1.1966197796787001E-2</v>
      </c>
      <c r="BF5" s="1">
        <v>6.4852473133605495E-2</v>
      </c>
      <c r="BG5" s="1">
        <v>5.5170954538373103E-3</v>
      </c>
      <c r="BH5" s="1">
        <v>7.6786699679311801E-2</v>
      </c>
      <c r="BI5" s="1">
        <v>2.0465742783958101E-3</v>
      </c>
      <c r="BJ5" s="1">
        <v>1.19342265457063E-2</v>
      </c>
      <c r="BK5" s="1">
        <v>1.2913943543228701E-3</v>
      </c>
      <c r="BL5" s="1">
        <v>8.0935522066784499E-4</v>
      </c>
      <c r="BM5" s="1">
        <v>1.63669655818454E-3</v>
      </c>
      <c r="BN5" s="1">
        <v>5.6196956912816403E-5</v>
      </c>
      <c r="BO5" s="1">
        <v>3.4530220386167301E-4</v>
      </c>
      <c r="BP5" s="1">
        <v>1.8380518117165599E-2</v>
      </c>
      <c r="BQ5" s="1">
        <v>3.3468801415355801E-3</v>
      </c>
      <c r="BR5" s="1">
        <v>2.75674062262822E-2</v>
      </c>
      <c r="BS5" s="1">
        <v>9.8956822932429992E-4</v>
      </c>
      <c r="BT5" s="1">
        <v>9.1868881091166192E-3</v>
      </c>
      <c r="BU5" s="1">
        <v>1.92834308518063E-2</v>
      </c>
      <c r="BV5" s="1">
        <v>3.5477907519567398E-3</v>
      </c>
      <c r="BW5" s="1">
        <v>2.9648946801732998E-2</v>
      </c>
      <c r="BX5" s="1">
        <v>1.0316077849784101E-3</v>
      </c>
      <c r="BY5" s="1">
        <v>1.03655159499267E-2</v>
      </c>
    </row>
    <row r="6" spans="1:77" x14ac:dyDescent="0.35">
      <c r="B6" t="s">
        <v>79</v>
      </c>
      <c r="C6" s="1">
        <v>2.3867793518850101E-4</v>
      </c>
      <c r="D6" s="1">
        <v>4.7391787686557703E-4</v>
      </c>
      <c r="E6" s="1">
        <v>7.4872127450694304E-4</v>
      </c>
      <c r="F6" s="1">
        <v>2.5847288707941399E-5</v>
      </c>
      <c r="G6" s="1">
        <v>5.1004333931844103E-4</v>
      </c>
      <c r="H6" s="1">
        <v>0.25268636442632098</v>
      </c>
      <c r="I6" s="1">
        <v>8.4425114816442295E-3</v>
      </c>
      <c r="J6" s="1">
        <v>0.26874462880447397</v>
      </c>
      <c r="K6" s="1">
        <v>5.7125618523262804E-3</v>
      </c>
      <c r="L6" s="1">
        <v>1.6058264378153199E-2</v>
      </c>
      <c r="M6" s="1">
        <v>0.28944888377776901</v>
      </c>
      <c r="N6" s="1">
        <v>9.3724519855456906E-3</v>
      </c>
      <c r="O6" s="1">
        <v>0.30889118931821302</v>
      </c>
      <c r="P6" s="1">
        <v>6.7326280396931004E-3</v>
      </c>
      <c r="Q6" s="1">
        <v>1.9442305540443499E-2</v>
      </c>
      <c r="R6" s="1">
        <v>2.2826738572735198E-3</v>
      </c>
      <c r="S6" s="1">
        <v>1.1984500037318501E-3</v>
      </c>
      <c r="T6" s="1">
        <v>4.7309690070295998E-3</v>
      </c>
      <c r="U6" s="1">
        <v>2.08682100610628E-4</v>
      </c>
      <c r="V6" s="1">
        <v>2.44829514975607E-3</v>
      </c>
      <c r="W6" s="1">
        <v>0.487256620845745</v>
      </c>
      <c r="X6" s="1">
        <v>1.14615221193833E-2</v>
      </c>
      <c r="Y6" s="1">
        <v>0.52036047434772004</v>
      </c>
      <c r="Z6" s="1">
        <v>1.0582166282507501E-2</v>
      </c>
      <c r="AA6" s="1">
        <v>3.3103853501974798E-2</v>
      </c>
      <c r="AB6" s="1">
        <v>0.45445634670132901</v>
      </c>
      <c r="AC6" s="1">
        <v>1.1080727120620901E-2</v>
      </c>
      <c r="AD6" s="1">
        <v>0.48598939940501101</v>
      </c>
      <c r="AE6" s="1">
        <v>1.00957384783969E-2</v>
      </c>
      <c r="AF6" s="1">
        <v>3.1533052703682597E-2</v>
      </c>
      <c r="AG6" s="1">
        <v>4.3539221986339301E-3</v>
      </c>
      <c r="AH6" s="1">
        <v>1.47276596111488E-3</v>
      </c>
      <c r="AI6" s="1">
        <v>6.2728685857891603E-3</v>
      </c>
      <c r="AJ6" s="1">
        <v>1.82834781578464E-4</v>
      </c>
      <c r="AK6" s="1">
        <v>1.9189463871552299E-3</v>
      </c>
      <c r="AL6" s="1">
        <v>0.54695079013881898</v>
      </c>
      <c r="AM6" s="1">
        <v>1.1546357113784199E-2</v>
      </c>
      <c r="AN6" s="1">
        <v>0.56739974128901305</v>
      </c>
      <c r="AO6" s="1">
        <v>1.0858779002368099E-2</v>
      </c>
      <c r="AP6" s="1">
        <v>2.0448951150193601E-2</v>
      </c>
      <c r="AQ6" s="1">
        <v>0.57661058444279001</v>
      </c>
      <c r="AR6" s="1">
        <v>1.2448410918320701E-2</v>
      </c>
      <c r="AS6" s="1">
        <v>0.59820162903893503</v>
      </c>
      <c r="AT6" s="1">
        <v>1.11108324429332E-2</v>
      </c>
      <c r="AU6" s="1">
        <v>2.1591044596144499E-2</v>
      </c>
      <c r="AV6" s="1">
        <v>9.9655549834573197E-4</v>
      </c>
      <c r="AW6" s="1">
        <v>8.02965725878522E-4</v>
      </c>
      <c r="AX6" s="1">
        <v>2.1620663983615502E-3</v>
      </c>
      <c r="AY6" s="1">
        <v>6.5845315222060196E-5</v>
      </c>
      <c r="AZ6" s="1">
        <v>1.1655109000158199E-3</v>
      </c>
      <c r="BA6" s="1">
        <v>0.42702640558240701</v>
      </c>
      <c r="BB6" s="1">
        <v>1.0545910020681301E-2</v>
      </c>
      <c r="BC6" s="1">
        <v>0.449094064611193</v>
      </c>
      <c r="BD6" s="1">
        <v>9.1265194484222208E-3</v>
      </c>
      <c r="BE6" s="1">
        <v>2.2067659028785599E-2</v>
      </c>
      <c r="BF6" s="1">
        <v>0.45126669074507297</v>
      </c>
      <c r="BG6" s="1">
        <v>1.1240527943879201E-2</v>
      </c>
      <c r="BH6" s="1">
        <v>0.47464089894175598</v>
      </c>
      <c r="BI6" s="1">
        <v>9.7111141751423501E-3</v>
      </c>
      <c r="BJ6" s="1">
        <v>2.33742081966829E-2</v>
      </c>
      <c r="BK6" s="1">
        <v>1.28100599871855E-2</v>
      </c>
      <c r="BL6" s="1">
        <v>4.2738730849334102E-3</v>
      </c>
      <c r="BM6" s="1">
        <v>3.5217234043843998E-2</v>
      </c>
      <c r="BN6" s="1">
        <v>2.10582933459542E-3</v>
      </c>
      <c r="BO6" s="1">
        <v>2.2407174056658499E-2</v>
      </c>
      <c r="BP6" s="1">
        <v>0.45926750637298902</v>
      </c>
      <c r="BQ6" s="1">
        <v>1.54069366599844E-2</v>
      </c>
      <c r="BR6" s="1">
        <v>0.68819244037521798</v>
      </c>
      <c r="BS6" s="1">
        <v>2.4982561269701501E-2</v>
      </c>
      <c r="BT6" s="1">
        <v>0.22892493400222899</v>
      </c>
      <c r="BU6" s="1">
        <v>0.49301257204674198</v>
      </c>
      <c r="BV6" s="1">
        <v>1.40794436120834E-2</v>
      </c>
      <c r="BW6" s="1">
        <v>0.72796686119578802</v>
      </c>
      <c r="BX6" s="1">
        <v>2.61818060783621E-2</v>
      </c>
      <c r="BY6" s="1">
        <v>0.23495428914904601</v>
      </c>
    </row>
    <row r="7" spans="1:77" x14ac:dyDescent="0.35">
      <c r="B7" t="s">
        <v>80</v>
      </c>
      <c r="C7" s="1">
        <v>-1.2384358593403599E-4</v>
      </c>
      <c r="D7" s="1">
        <v>2.4975366971436601E-4</v>
      </c>
      <c r="E7" s="1">
        <v>1.8044429021039801E-4</v>
      </c>
      <c r="F7" s="1">
        <v>9.3026277816326205E-6</v>
      </c>
      <c r="G7" s="1">
        <v>3.04287876144434E-4</v>
      </c>
      <c r="H7" s="1">
        <v>3.9398827527193803E-3</v>
      </c>
      <c r="I7" s="1">
        <v>1.27345810177533E-3</v>
      </c>
      <c r="J7" s="1">
        <v>4.7172114543768103E-3</v>
      </c>
      <c r="K7" s="1">
        <v>1.07820038879657E-4</v>
      </c>
      <c r="L7" s="1">
        <v>7.7732870165742496E-4</v>
      </c>
      <c r="M7" s="1">
        <v>4.5598045265849898E-3</v>
      </c>
      <c r="N7" s="1">
        <v>1.3394944253178899E-3</v>
      </c>
      <c r="O7" s="1">
        <v>5.3702082997454503E-3</v>
      </c>
      <c r="P7" s="1">
        <v>1.3066474666789701E-4</v>
      </c>
      <c r="Q7" s="1">
        <v>8.1040377316045895E-4</v>
      </c>
      <c r="R7" s="1">
        <v>8.9512708883684303E-5</v>
      </c>
      <c r="S7" s="1">
        <v>3.34713695064217E-4</v>
      </c>
      <c r="T7" s="1">
        <v>2.3662090410972699E-4</v>
      </c>
      <c r="U7" s="1">
        <v>8.3229886167605204E-6</v>
      </c>
      <c r="V7" s="1">
        <v>1.47108195226042E-4</v>
      </c>
      <c r="W7" s="1">
        <v>1.47044198759043E-2</v>
      </c>
      <c r="X7" s="1">
        <v>2.44209209297755E-3</v>
      </c>
      <c r="Y7" s="1">
        <v>1.6590362829213001E-2</v>
      </c>
      <c r="Z7" s="1">
        <v>3.8590461290706002E-4</v>
      </c>
      <c r="AA7" s="1">
        <v>1.8859429533086599E-3</v>
      </c>
      <c r="AB7" s="1">
        <v>1.34941304845241E-2</v>
      </c>
      <c r="AC7" s="1">
        <v>2.2196001399397598E-3</v>
      </c>
      <c r="AD7" s="1">
        <v>1.57907620289841E-2</v>
      </c>
      <c r="AE7" s="1">
        <v>3.6871635044431999E-4</v>
      </c>
      <c r="AF7" s="1">
        <v>2.29663154446001E-3</v>
      </c>
      <c r="AG7" s="1">
        <v>3.81994804949815E-4</v>
      </c>
      <c r="AH7" s="1">
        <v>5.2134287155543898E-4</v>
      </c>
      <c r="AI7" s="1">
        <v>6.8031999142904496E-4</v>
      </c>
      <c r="AJ7" s="1">
        <v>2.4863953046508102E-5</v>
      </c>
      <c r="AK7" s="1">
        <v>2.9832518647922898E-4</v>
      </c>
      <c r="AL7" s="1">
        <v>2.4953258990597599E-2</v>
      </c>
      <c r="AM7" s="1">
        <v>2.9216923299866999E-3</v>
      </c>
      <c r="AN7" s="1">
        <v>2.7065693553745399E-2</v>
      </c>
      <c r="AO7" s="1">
        <v>6.04465528100364E-4</v>
      </c>
      <c r="AP7" s="1">
        <v>2.1124345631478602E-3</v>
      </c>
      <c r="AQ7" s="1">
        <v>2.6348488634041701E-2</v>
      </c>
      <c r="AR7" s="1">
        <v>3.0815347250974599E-3</v>
      </c>
      <c r="AS7" s="1">
        <v>2.8304765845686201E-2</v>
      </c>
      <c r="AT7" s="1">
        <v>6.2622117244866401E-4</v>
      </c>
      <c r="AU7" s="1">
        <v>1.9562772116444799E-3</v>
      </c>
      <c r="AV7" s="1">
        <v>-2.0456188955180301E-5</v>
      </c>
      <c r="AW7" s="1">
        <v>3.0938762041998399E-4</v>
      </c>
      <c r="AX7" s="1">
        <v>2.75735690183541E-4</v>
      </c>
      <c r="AY7" s="1">
        <v>1.0227504614802E-5</v>
      </c>
      <c r="AZ7" s="1">
        <v>2.9619187913872098E-4</v>
      </c>
      <c r="BA7" s="1">
        <v>1.1530464594357699E-2</v>
      </c>
      <c r="BB7" s="1">
        <v>1.9992525295136798E-3</v>
      </c>
      <c r="BC7" s="1">
        <v>1.29083730130843E-2</v>
      </c>
      <c r="BD7" s="1">
        <v>2.8315876153021702E-4</v>
      </c>
      <c r="BE7" s="1">
        <v>1.37790841872661E-3</v>
      </c>
      <c r="BF7" s="1">
        <v>1.18451416218633E-2</v>
      </c>
      <c r="BG7" s="1">
        <v>2.05947527121585E-3</v>
      </c>
      <c r="BH7" s="1">
        <v>1.32980697667128E-2</v>
      </c>
      <c r="BI7" s="1">
        <v>2.8293108396858501E-4</v>
      </c>
      <c r="BJ7" s="1">
        <v>1.4529281448495701E-3</v>
      </c>
      <c r="BK7" s="1">
        <v>6.5189528541521402E-4</v>
      </c>
      <c r="BL7" s="1">
        <v>8.2132180767863596E-4</v>
      </c>
      <c r="BM7" s="1">
        <v>1.48014446717359E-3</v>
      </c>
      <c r="BN7" s="1">
        <v>6.6227688633820894E-5</v>
      </c>
      <c r="BO7" s="1">
        <v>8.2824918175837905E-4</v>
      </c>
      <c r="BP7" s="1">
        <v>2.63706824422415E-2</v>
      </c>
      <c r="BQ7" s="1">
        <v>3.73855170018019E-3</v>
      </c>
      <c r="BR7" s="1">
        <v>3.3823334038687002E-2</v>
      </c>
      <c r="BS7" s="1">
        <v>1.0209869936285399E-3</v>
      </c>
      <c r="BT7" s="1">
        <v>7.4526515964455E-3</v>
      </c>
      <c r="BU7" s="1">
        <v>2.7572960594879899E-2</v>
      </c>
      <c r="BV7" s="1">
        <v>3.9166590976876699E-3</v>
      </c>
      <c r="BW7" s="1">
        <v>3.5753666522003201E-2</v>
      </c>
      <c r="BX7" s="1">
        <v>9.5711681570762302E-4</v>
      </c>
      <c r="BY7" s="1">
        <v>8.1807059271233103E-3</v>
      </c>
    </row>
    <row r="8" spans="1:77" x14ac:dyDescent="0.35">
      <c r="B8" t="s">
        <v>81</v>
      </c>
      <c r="C8" s="1">
        <v>8.6629840401614805E-6</v>
      </c>
      <c r="D8" s="1">
        <v>3.9154221192772698E-4</v>
      </c>
      <c r="E8" s="1">
        <v>3.2710394038539198E-4</v>
      </c>
      <c r="F8" s="1">
        <v>1.01188749779841E-5</v>
      </c>
      <c r="G8" s="1">
        <v>3.18440956345231E-4</v>
      </c>
      <c r="H8" s="1">
        <v>8.7058027762336593E-3</v>
      </c>
      <c r="I8" s="1">
        <v>2.1107578717563902E-3</v>
      </c>
      <c r="J8" s="1">
        <v>1.2762102844416799E-2</v>
      </c>
      <c r="K8" s="1">
        <v>3.9817972008557501E-4</v>
      </c>
      <c r="L8" s="1">
        <v>4.0563000681831602E-3</v>
      </c>
      <c r="M8" s="1">
        <v>9.8565752217909391E-3</v>
      </c>
      <c r="N8" s="1">
        <v>2.13871355094386E-3</v>
      </c>
      <c r="O8" s="1">
        <v>1.42215369376035E-2</v>
      </c>
      <c r="P8" s="1">
        <v>4.0335218475525601E-4</v>
      </c>
      <c r="Q8" s="1">
        <v>4.3649617158125903E-3</v>
      </c>
      <c r="R8" s="1">
        <v>3.7871305464405499E-4</v>
      </c>
      <c r="S8" s="1">
        <v>5.3810929895385098E-4</v>
      </c>
      <c r="T8" s="1">
        <v>7.33645939610141E-4</v>
      </c>
      <c r="U8" s="1">
        <v>8.9991121970506706E-5</v>
      </c>
      <c r="V8" s="1">
        <v>3.5493288496608497E-4</v>
      </c>
      <c r="W8" s="1">
        <v>2.8589208348975E-2</v>
      </c>
      <c r="X8" s="1">
        <v>4.2069184711314902E-3</v>
      </c>
      <c r="Y8" s="1">
        <v>4.4903494213101802E-2</v>
      </c>
      <c r="Z8" s="1">
        <v>1.8026006775435199E-3</v>
      </c>
      <c r="AA8" s="1">
        <v>1.6314285864126699E-2</v>
      </c>
      <c r="AB8" s="1">
        <v>2.62843379646687E-2</v>
      </c>
      <c r="AC8" s="1">
        <v>3.9912689531050203E-3</v>
      </c>
      <c r="AD8" s="1">
        <v>4.2501848760441101E-2</v>
      </c>
      <c r="AE8" s="1">
        <v>1.7597481133430799E-3</v>
      </c>
      <c r="AF8" s="1">
        <v>1.62175107957723E-2</v>
      </c>
      <c r="AG8" s="1">
        <v>2.06530010662085E-4</v>
      </c>
      <c r="AH8" s="1">
        <v>4.3256180467313702E-4</v>
      </c>
      <c r="AI8" s="1">
        <v>4.6362835968508299E-4</v>
      </c>
      <c r="AJ8" s="1">
        <v>1.8943141294543799E-5</v>
      </c>
      <c r="AK8" s="1">
        <v>2.5709834902299799E-4</v>
      </c>
      <c r="AL8" s="1">
        <v>3.1988553076023503E-2</v>
      </c>
      <c r="AM8" s="1">
        <v>3.8178558466285401E-3</v>
      </c>
      <c r="AN8" s="1">
        <v>4.0244562486911897E-2</v>
      </c>
      <c r="AO8" s="1">
        <v>1.1274739012202199E-3</v>
      </c>
      <c r="AP8" s="1">
        <v>8.25600941088841E-3</v>
      </c>
      <c r="AQ8" s="1">
        <v>3.3270082549112297E-2</v>
      </c>
      <c r="AR8" s="1">
        <v>3.9838540184208302E-3</v>
      </c>
      <c r="AS8" s="1">
        <v>4.2519327952082603E-2</v>
      </c>
      <c r="AT8" s="1">
        <v>1.19742752148201E-3</v>
      </c>
      <c r="AU8" s="1">
        <v>9.2492454029702801E-3</v>
      </c>
      <c r="AV8" s="1">
        <v>-3.1020393827501302E-4</v>
      </c>
      <c r="AW8" s="1">
        <v>3.1187285457361699E-4</v>
      </c>
      <c r="AX8" s="1">
        <v>2.63437023149005E-4</v>
      </c>
      <c r="AY8" s="1">
        <v>9.6339623960644499E-6</v>
      </c>
      <c r="AZ8" s="1">
        <v>5.73640961424019E-4</v>
      </c>
      <c r="BA8" s="1">
        <v>1.9788695182736502E-2</v>
      </c>
      <c r="BB8" s="1">
        <v>3.03043308631028E-3</v>
      </c>
      <c r="BC8" s="1">
        <v>2.6352604469481299E-2</v>
      </c>
      <c r="BD8" s="1">
        <v>7.7087650103933002E-4</v>
      </c>
      <c r="BE8" s="1">
        <v>6.56390928674477E-3</v>
      </c>
      <c r="BF8" s="1">
        <v>2.0902843599476702E-2</v>
      </c>
      <c r="BG8" s="1">
        <v>3.15161776737453E-3</v>
      </c>
      <c r="BH8" s="1">
        <v>2.7725185514033301E-2</v>
      </c>
      <c r="BI8" s="1">
        <v>7.7180162577688703E-4</v>
      </c>
      <c r="BJ8" s="1">
        <v>6.8223419145566396E-3</v>
      </c>
      <c r="BK8" s="1">
        <v>2.01243772699446E-3</v>
      </c>
      <c r="BL8" s="1">
        <v>2.50106890347193E-3</v>
      </c>
      <c r="BM8" s="1">
        <v>1.9987755333108901E-2</v>
      </c>
      <c r="BN8" s="1">
        <v>1.6717590825699299E-3</v>
      </c>
      <c r="BO8" s="1">
        <v>1.7975317606114399E-2</v>
      </c>
      <c r="BP8" s="1">
        <v>2.1359996013533E-2</v>
      </c>
      <c r="BQ8" s="1">
        <v>1.2243847573625399E-2</v>
      </c>
      <c r="BR8" s="1">
        <v>0.309543590040598</v>
      </c>
      <c r="BS8" s="1">
        <v>1.49558141692914E-2</v>
      </c>
      <c r="BT8" s="1">
        <v>0.288183594027065</v>
      </c>
      <c r="BU8" s="1">
        <v>2.4216599904034099E-2</v>
      </c>
      <c r="BV8" s="1">
        <v>1.40253414556866E-2</v>
      </c>
      <c r="BW8" s="1">
        <v>0.32391020653089198</v>
      </c>
      <c r="BX8" s="1">
        <v>1.5337237090125201E-2</v>
      </c>
      <c r="BY8" s="1">
        <v>0.29969360662685801</v>
      </c>
    </row>
    <row r="11" spans="1:77" x14ac:dyDescent="0.35">
      <c r="N11" s="5" t="s">
        <v>92</v>
      </c>
    </row>
    <row r="13" spans="1:77" x14ac:dyDescent="0.35">
      <c r="A13" s="2"/>
      <c r="B13" s="2"/>
      <c r="C13" s="3" t="s">
        <v>83</v>
      </c>
      <c r="D13" s="3"/>
      <c r="E13" s="3"/>
      <c r="F13" s="3"/>
      <c r="G13" s="3"/>
      <c r="H13" s="3"/>
      <c r="I13" s="3"/>
      <c r="J13" s="3"/>
      <c r="K13" s="3"/>
      <c r="L13" s="4"/>
    </row>
    <row r="14" spans="1:77" x14ac:dyDescent="0.35">
      <c r="A14" s="2"/>
      <c r="B14" s="2" t="s">
        <v>84</v>
      </c>
      <c r="C14" s="3" t="s">
        <v>85</v>
      </c>
      <c r="D14" s="3"/>
      <c r="E14" s="3" t="s">
        <v>86</v>
      </c>
      <c r="F14" s="3"/>
      <c r="G14" s="3" t="s">
        <v>87</v>
      </c>
      <c r="H14" s="3"/>
      <c r="I14" s="3" t="s">
        <v>88</v>
      </c>
      <c r="J14" s="3"/>
      <c r="K14" s="3" t="s">
        <v>89</v>
      </c>
      <c r="L14" s="3"/>
    </row>
    <row r="15" spans="1:77" x14ac:dyDescent="0.35">
      <c r="A15" s="2"/>
      <c r="B15" s="2" t="s">
        <v>82</v>
      </c>
      <c r="C15" s="4" t="s">
        <v>90</v>
      </c>
      <c r="D15" s="4" t="s">
        <v>91</v>
      </c>
      <c r="E15" s="4" t="s">
        <v>90</v>
      </c>
      <c r="F15" s="4" t="s">
        <v>91</v>
      </c>
      <c r="G15" s="4" t="s">
        <v>90</v>
      </c>
      <c r="H15" s="4" t="s">
        <v>91</v>
      </c>
      <c r="I15" s="4" t="s">
        <v>90</v>
      </c>
      <c r="J15" s="4" t="s">
        <v>91</v>
      </c>
      <c r="K15" s="4" t="s">
        <v>90</v>
      </c>
      <c r="L15" s="4" t="s">
        <v>91</v>
      </c>
    </row>
    <row r="16" spans="1:77" x14ac:dyDescent="0.35">
      <c r="A16" s="2"/>
      <c r="B16" s="2" t="s">
        <v>75</v>
      </c>
      <c r="C16" s="2" t="str">
        <f>_xlfn.CONCAT(TEXT(C2,"0.000")," ± ",TEXT(D2,"0.000"))</f>
        <v>0.005 ± 0.002</v>
      </c>
      <c r="D16" s="2" t="str">
        <f>_xlfn.CONCAT(TEXT(E2,"0.000")," ± ",TEXT(F2,"0.000"))</f>
        <v>0.009 ± 0.000</v>
      </c>
      <c r="E16" s="2" t="str">
        <f>_xlfn.CONCAT(TEXT(R2,"0.000")," ± ",TEXT(S2,"0.000"))</f>
        <v>0.011 ± 0.003</v>
      </c>
      <c r="F16" s="2" t="str">
        <f>_xlfn.CONCAT(TEXT(T2,"0.000")," ± ",TEXT(U2,"0.000"))</f>
        <v>0.021 ± 0.001</v>
      </c>
      <c r="G16" s="2" t="str">
        <f>_xlfn.CONCAT(TEXT(AG2,"0.000")," ± ",TEXT(AH2,"0.000"))</f>
        <v>0.006 ± 0.002</v>
      </c>
      <c r="H16" s="2" t="str">
        <f>_xlfn.CONCAT(TEXT(AI2,"0.000")," ± ",TEXT(AJ2,"0.000"))</f>
        <v>0.014 ± 0.001</v>
      </c>
      <c r="I16" s="2" t="str">
        <f>_xlfn.CONCAT(TEXT(AV2,"0.000")," ± ",TEXT(AW2,"0.000"))</f>
        <v>0.006 ± 0.002</v>
      </c>
      <c r="J16" s="2" t="str">
        <f>_xlfn.CONCAT(TEXT(AX2,"0.000")," ± ",TEXT(AY2,"0.000"))</f>
        <v>0.013 ± 0.000</v>
      </c>
      <c r="K16" s="2" t="str">
        <f>_xlfn.CONCAT(TEXT(BK2,"0.000")," ± ",TEXT(BL2,"0.000"))</f>
        <v>0.013 ± 0.003</v>
      </c>
      <c r="L16" s="2" t="str">
        <f>_xlfn.CONCAT(TEXT(BM2,"0.000")," ± ",TEXT(BN2,"0.000"))</f>
        <v>0.027 ± 0.001</v>
      </c>
    </row>
    <row r="17" spans="1:12" x14ac:dyDescent="0.35">
      <c r="A17" s="2"/>
      <c r="B17" s="2" t="s">
        <v>76</v>
      </c>
      <c r="C17" s="2" t="str">
        <f t="shared" ref="C17:C22" si="0">_xlfn.CONCAT(TEXT(C3,"0.000")," ± ",TEXT(D3,"0.000"))</f>
        <v>0.496 ± 0.014</v>
      </c>
      <c r="D17" s="2" t="str">
        <f t="shared" ref="D17:D22" si="1">_xlfn.CONCAT(TEXT(E3,"0.000")," ± ",TEXT(F3,"0.000"))</f>
        <v>0.599 ± 0.014</v>
      </c>
      <c r="E17" s="2" t="str">
        <f t="shared" ref="E17:E22" si="2">_xlfn.CONCAT(TEXT(R3,"0.000")," ± ",TEXT(S3,"0.000"))</f>
        <v>0.494 ± 0.014</v>
      </c>
      <c r="F17" s="2" t="str">
        <f t="shared" ref="F17:F22" si="3">_xlfn.CONCAT(TEXT(T3,"0.000")," ± ",TEXT(U3,"0.000"))</f>
        <v>0.582 ± 0.014</v>
      </c>
      <c r="G17" s="2" t="str">
        <f t="shared" ref="G17:G22" si="4">_xlfn.CONCAT(TEXT(AG3,"0.000")," ± ",TEXT(AH3,"0.000"))</f>
        <v>0.555 ± 0.014</v>
      </c>
      <c r="H17" s="2" t="str">
        <f t="shared" ref="H17:H22" si="5">_xlfn.CONCAT(TEXT(AI3,"0.000")," ± ",TEXT(AJ3,"0.000"))</f>
        <v>0.622 ± 0.014</v>
      </c>
      <c r="I17" s="2" t="str">
        <f t="shared" ref="I17:I22" si="6">_xlfn.CONCAT(TEXT(AV3,"0.000")," ± ",TEXT(AW3,"0.000"))</f>
        <v>0.532 ± 0.014</v>
      </c>
      <c r="J17" s="2" t="str">
        <f t="shared" ref="J17:J22" si="7">_xlfn.CONCAT(TEXT(AX3,"0.000")," ± ",TEXT(AY3,"0.000"))</f>
        <v>0.620 ± 0.014</v>
      </c>
      <c r="K17" s="2" t="str">
        <f t="shared" ref="K17:K22" si="8">_xlfn.CONCAT(TEXT(BK3,"0.000")," ± ",TEXT(BL3,"0.000"))</f>
        <v>0.403 ± 0.013</v>
      </c>
      <c r="L17" s="2" t="str">
        <f t="shared" ref="L17:L22" si="9">_xlfn.CONCAT(TEXT(BM3,"0.000")," ± ",TEXT(BN3,"0.000"))</f>
        <v>0.502 ± 0.014</v>
      </c>
    </row>
    <row r="18" spans="1:12" x14ac:dyDescent="0.35">
      <c r="A18" s="2"/>
      <c r="B18" s="2" t="s">
        <v>77</v>
      </c>
      <c r="C18" s="2" t="str">
        <f t="shared" si="0"/>
        <v>0.395 ± 0.014</v>
      </c>
      <c r="D18" s="2" t="str">
        <f t="shared" si="1"/>
        <v>0.496 ± 0.013</v>
      </c>
      <c r="E18" s="2" t="str">
        <f t="shared" si="2"/>
        <v>0.400 ± 0.014</v>
      </c>
      <c r="F18" s="2" t="str">
        <f t="shared" si="3"/>
        <v>0.486 ± 0.013</v>
      </c>
      <c r="G18" s="2" t="str">
        <f t="shared" si="4"/>
        <v>0.363 ± 0.013</v>
      </c>
      <c r="H18" s="2" t="str">
        <f t="shared" si="5"/>
        <v>0.427 ± 0.011</v>
      </c>
      <c r="I18" s="2" t="str">
        <f t="shared" si="6"/>
        <v>0.369 ± 0.014</v>
      </c>
      <c r="J18" s="2" t="str">
        <f t="shared" si="7"/>
        <v>0.454 ± 0.012</v>
      </c>
      <c r="K18" s="2" t="str">
        <f t="shared" si="8"/>
        <v>0.452 ± 0.015</v>
      </c>
      <c r="L18" s="2" t="str">
        <f t="shared" si="9"/>
        <v>0.547 ± 0.015</v>
      </c>
    </row>
    <row r="19" spans="1:12" x14ac:dyDescent="0.35">
      <c r="A19" s="2"/>
      <c r="B19" s="2" t="s">
        <v>78</v>
      </c>
      <c r="C19" s="2" t="str">
        <f t="shared" si="0"/>
        <v>0.000 ± 0.000</v>
      </c>
      <c r="D19" s="2" t="str">
        <f t="shared" si="1"/>
        <v>0.001 ± 0.000</v>
      </c>
      <c r="E19" s="2" t="str">
        <f t="shared" si="2"/>
        <v>0.001 ± 0.001</v>
      </c>
      <c r="F19" s="2" t="str">
        <f t="shared" si="3"/>
        <v>0.001 ± 0.000</v>
      </c>
      <c r="G19" s="2" t="str">
        <f t="shared" si="4"/>
        <v>0.002 ± 0.001</v>
      </c>
      <c r="H19" s="2" t="str">
        <f t="shared" si="5"/>
        <v>0.002 ± 0.000</v>
      </c>
      <c r="I19" s="2" t="str">
        <f t="shared" si="6"/>
        <v>0.000 ± 0.001</v>
      </c>
      <c r="J19" s="2" t="str">
        <f t="shared" si="7"/>
        <v>0.001 ± 0.000</v>
      </c>
      <c r="K19" s="2" t="str">
        <f t="shared" si="8"/>
        <v>0.001 ± 0.001</v>
      </c>
      <c r="L19" s="2" t="str">
        <f t="shared" si="9"/>
        <v>0.002 ± 0.000</v>
      </c>
    </row>
    <row r="20" spans="1:12" x14ac:dyDescent="0.35">
      <c r="A20" s="2"/>
      <c r="B20" s="2" t="s">
        <v>79</v>
      </c>
      <c r="C20" s="2" t="str">
        <f t="shared" si="0"/>
        <v>0.000 ± 0.000</v>
      </c>
      <c r="D20" s="2" t="str">
        <f t="shared" si="1"/>
        <v>0.001 ± 0.000</v>
      </c>
      <c r="E20" s="2" t="str">
        <f t="shared" si="2"/>
        <v>0.002 ± 0.001</v>
      </c>
      <c r="F20" s="2" t="str">
        <f t="shared" si="3"/>
        <v>0.005 ± 0.000</v>
      </c>
      <c r="G20" s="2" t="str">
        <f t="shared" si="4"/>
        <v>0.004 ± 0.001</v>
      </c>
      <c r="H20" s="2" t="str">
        <f t="shared" si="5"/>
        <v>0.006 ± 0.000</v>
      </c>
      <c r="I20" s="2" t="str">
        <f t="shared" si="6"/>
        <v>0.001 ± 0.001</v>
      </c>
      <c r="J20" s="2" t="str">
        <f t="shared" si="7"/>
        <v>0.002 ± 0.000</v>
      </c>
      <c r="K20" s="2" t="str">
        <f t="shared" si="8"/>
        <v>0.013 ± 0.004</v>
      </c>
      <c r="L20" s="2" t="str">
        <f t="shared" si="9"/>
        <v>0.035 ± 0.002</v>
      </c>
    </row>
    <row r="21" spans="1:12" x14ac:dyDescent="0.35">
      <c r="A21" s="2"/>
      <c r="B21" s="2" t="s">
        <v>80</v>
      </c>
      <c r="C21" s="2" t="str">
        <f t="shared" si="0"/>
        <v>0.000 ± 0.000</v>
      </c>
      <c r="D21" s="2" t="str">
        <f t="shared" si="1"/>
        <v>0.000 ± 0.000</v>
      </c>
      <c r="E21" s="2" t="str">
        <f t="shared" si="2"/>
        <v>0.000 ± 0.000</v>
      </c>
      <c r="F21" s="2" t="str">
        <f t="shared" si="3"/>
        <v>0.000 ± 0.000</v>
      </c>
      <c r="G21" s="2" t="str">
        <f t="shared" si="4"/>
        <v>0.000 ± 0.001</v>
      </c>
      <c r="H21" s="2" t="str">
        <f t="shared" si="5"/>
        <v>0.001 ± 0.000</v>
      </c>
      <c r="I21" s="2" t="str">
        <f t="shared" si="6"/>
        <v>0.000 ± 0.000</v>
      </c>
      <c r="J21" s="2" t="str">
        <f t="shared" si="7"/>
        <v>0.000 ± 0.000</v>
      </c>
      <c r="K21" s="2" t="str">
        <f t="shared" si="8"/>
        <v>0.001 ± 0.001</v>
      </c>
      <c r="L21" s="2" t="str">
        <f t="shared" si="9"/>
        <v>0.001 ± 0.000</v>
      </c>
    </row>
    <row r="22" spans="1:12" x14ac:dyDescent="0.35">
      <c r="A22" s="2"/>
      <c r="B22" s="2" t="s">
        <v>81</v>
      </c>
      <c r="C22" s="2" t="str">
        <f t="shared" si="0"/>
        <v>0.000 ± 0.000</v>
      </c>
      <c r="D22" s="2" t="str">
        <f t="shared" si="1"/>
        <v>0.000 ± 0.000</v>
      </c>
      <c r="E22" s="2" t="str">
        <f t="shared" si="2"/>
        <v>0.000 ± 0.001</v>
      </c>
      <c r="F22" s="2" t="str">
        <f t="shared" si="3"/>
        <v>0.001 ± 0.000</v>
      </c>
      <c r="G22" s="2" t="str">
        <f t="shared" si="4"/>
        <v>0.000 ± 0.000</v>
      </c>
      <c r="H22" s="2" t="str">
        <f t="shared" si="5"/>
        <v>0.000 ± 0.000</v>
      </c>
      <c r="I22" s="2" t="str">
        <f t="shared" si="6"/>
        <v>0.000 ± 0.000</v>
      </c>
      <c r="J22" s="2" t="str">
        <f t="shared" si="7"/>
        <v>0.000 ± 0.000</v>
      </c>
      <c r="K22" s="2" t="str">
        <f t="shared" si="8"/>
        <v>0.002 ± 0.003</v>
      </c>
      <c r="L22" s="2" t="str">
        <f t="shared" si="9"/>
        <v>0.020 ± 0.002</v>
      </c>
    </row>
    <row r="26" spans="1:12" x14ac:dyDescent="0.35">
      <c r="B26" s="17" t="s">
        <v>84</v>
      </c>
      <c r="C26" s="7"/>
      <c r="D26" s="7"/>
      <c r="E26" s="7"/>
      <c r="F26" s="7"/>
      <c r="G26" s="7"/>
      <c r="H26" s="7"/>
      <c r="I26" s="7"/>
      <c r="J26" s="7"/>
      <c r="K26" s="7"/>
      <c r="L26" s="8"/>
    </row>
    <row r="27" spans="1:12" x14ac:dyDescent="0.35">
      <c r="B27" s="17" t="s">
        <v>84</v>
      </c>
      <c r="C27" s="9" t="s">
        <v>85</v>
      </c>
      <c r="D27" s="11"/>
      <c r="E27" s="18" t="s">
        <v>86</v>
      </c>
      <c r="F27" s="9"/>
      <c r="G27" s="9" t="s">
        <v>87</v>
      </c>
      <c r="H27" s="9"/>
      <c r="I27" s="9" t="s">
        <v>88</v>
      </c>
      <c r="J27" s="9"/>
      <c r="K27" s="9" t="s">
        <v>89</v>
      </c>
      <c r="L27" s="11"/>
    </row>
    <row r="28" spans="1:12" x14ac:dyDescent="0.35">
      <c r="B28" s="6"/>
      <c r="C28" s="15" t="s">
        <v>90</v>
      </c>
      <c r="D28" s="12" t="s">
        <v>91</v>
      </c>
      <c r="E28" s="10" t="s">
        <v>90</v>
      </c>
      <c r="F28" s="12" t="s">
        <v>91</v>
      </c>
      <c r="G28" s="10" t="s">
        <v>90</v>
      </c>
      <c r="H28" s="12" t="s">
        <v>91</v>
      </c>
      <c r="I28" s="10" t="s">
        <v>90</v>
      </c>
      <c r="J28" s="12" t="s">
        <v>91</v>
      </c>
      <c r="K28" s="10" t="s">
        <v>90</v>
      </c>
      <c r="L28" s="12" t="s">
        <v>91</v>
      </c>
    </row>
    <row r="29" spans="1:12" x14ac:dyDescent="0.35">
      <c r="B29" s="6" t="s">
        <v>77</v>
      </c>
      <c r="C29" s="16" t="s">
        <v>112</v>
      </c>
      <c r="D29" s="13" t="s">
        <v>113</v>
      </c>
      <c r="E29" s="6" t="s">
        <v>114</v>
      </c>
      <c r="F29" s="14" t="s">
        <v>115</v>
      </c>
      <c r="G29" s="6" t="s">
        <v>116</v>
      </c>
      <c r="H29" s="14" t="s">
        <v>117</v>
      </c>
      <c r="I29" s="6" t="s">
        <v>118</v>
      </c>
      <c r="J29" s="14" t="s">
        <v>119</v>
      </c>
      <c r="K29" s="6" t="s">
        <v>120</v>
      </c>
      <c r="L29" s="14" t="s">
        <v>121</v>
      </c>
    </row>
    <row r="30" spans="1:12" x14ac:dyDescent="0.35">
      <c r="B30" s="6" t="s">
        <v>76</v>
      </c>
      <c r="C30" s="16" t="s">
        <v>102</v>
      </c>
      <c r="D30" s="14" t="s">
        <v>103</v>
      </c>
      <c r="E30" s="6" t="s">
        <v>104</v>
      </c>
      <c r="F30" s="14" t="s">
        <v>105</v>
      </c>
      <c r="G30" s="6" t="s">
        <v>106</v>
      </c>
      <c r="H30" s="14" t="s">
        <v>107</v>
      </c>
      <c r="I30" s="6" t="s">
        <v>108</v>
      </c>
      <c r="J30" s="14" t="s">
        <v>109</v>
      </c>
      <c r="K30" s="6" t="s">
        <v>110</v>
      </c>
      <c r="L30" s="14" t="s">
        <v>111</v>
      </c>
    </row>
    <row r="31" spans="1:12" x14ac:dyDescent="0.35">
      <c r="B31" s="6" t="s">
        <v>79</v>
      </c>
      <c r="C31" s="16" t="s">
        <v>122</v>
      </c>
      <c r="D31" s="14" t="s">
        <v>123</v>
      </c>
      <c r="E31" s="6" t="s">
        <v>125</v>
      </c>
      <c r="F31" s="14" t="s">
        <v>128</v>
      </c>
      <c r="G31" s="6" t="s">
        <v>129</v>
      </c>
      <c r="H31" s="14" t="s">
        <v>130</v>
      </c>
      <c r="I31" s="6" t="s">
        <v>124</v>
      </c>
      <c r="J31" s="14" t="s">
        <v>126</v>
      </c>
      <c r="K31" s="6" t="s">
        <v>131</v>
      </c>
      <c r="L31" s="14" t="s">
        <v>132</v>
      </c>
    </row>
    <row r="32" spans="1:12" x14ac:dyDescent="0.35">
      <c r="B32" s="6" t="s">
        <v>81</v>
      </c>
      <c r="C32" s="16" t="s">
        <v>122</v>
      </c>
      <c r="D32" s="14" t="s">
        <v>122</v>
      </c>
      <c r="E32" s="6" t="s">
        <v>127</v>
      </c>
      <c r="F32" s="14" t="s">
        <v>123</v>
      </c>
      <c r="G32" s="6" t="s">
        <v>122</v>
      </c>
      <c r="H32" s="14" t="s">
        <v>122</v>
      </c>
      <c r="I32" s="6" t="s">
        <v>122</v>
      </c>
      <c r="J32" s="14" t="s">
        <v>122</v>
      </c>
      <c r="K32" s="6" t="s">
        <v>133</v>
      </c>
      <c r="L32" s="14" t="s">
        <v>134</v>
      </c>
    </row>
    <row r="33" spans="2:12" x14ac:dyDescent="0.35">
      <c r="B33" s="6" t="s">
        <v>78</v>
      </c>
      <c r="C33" s="16" t="s">
        <v>122</v>
      </c>
      <c r="D33" s="14" t="s">
        <v>123</v>
      </c>
      <c r="E33" s="6" t="s">
        <v>124</v>
      </c>
      <c r="F33" s="14" t="s">
        <v>123</v>
      </c>
      <c r="G33" s="6" t="s">
        <v>125</v>
      </c>
      <c r="H33" s="14" t="s">
        <v>126</v>
      </c>
      <c r="I33" s="6" t="s">
        <v>127</v>
      </c>
      <c r="J33" s="14" t="s">
        <v>123</v>
      </c>
      <c r="K33" s="6" t="s">
        <v>124</v>
      </c>
      <c r="L33" s="14" t="s">
        <v>126</v>
      </c>
    </row>
    <row r="34" spans="2:12" x14ac:dyDescent="0.35">
      <c r="B34" s="6" t="s">
        <v>80</v>
      </c>
      <c r="C34" s="16" t="s">
        <v>122</v>
      </c>
      <c r="D34" s="14" t="s">
        <v>122</v>
      </c>
      <c r="E34" s="6" t="s">
        <v>122</v>
      </c>
      <c r="F34" s="14" t="s">
        <v>122</v>
      </c>
      <c r="G34" s="6" t="s">
        <v>127</v>
      </c>
      <c r="H34" s="14" t="s">
        <v>123</v>
      </c>
      <c r="I34" s="6" t="s">
        <v>122</v>
      </c>
      <c r="J34" s="14" t="s">
        <v>122</v>
      </c>
      <c r="K34" s="6" t="s">
        <v>124</v>
      </c>
      <c r="L34" s="14" t="s">
        <v>123</v>
      </c>
    </row>
    <row r="35" spans="2:12" x14ac:dyDescent="0.35">
      <c r="B35" s="6" t="s">
        <v>75</v>
      </c>
      <c r="C35" s="16" t="s">
        <v>93</v>
      </c>
      <c r="D35" s="14" t="s">
        <v>94</v>
      </c>
      <c r="E35" s="6" t="s">
        <v>95</v>
      </c>
      <c r="F35" s="14" t="s">
        <v>96</v>
      </c>
      <c r="G35" s="6" t="s">
        <v>97</v>
      </c>
      <c r="H35" s="14" t="s">
        <v>98</v>
      </c>
      <c r="I35" s="6" t="s">
        <v>97</v>
      </c>
      <c r="J35" s="14" t="s">
        <v>99</v>
      </c>
      <c r="K35" s="6" t="s">
        <v>100</v>
      </c>
      <c r="L35" s="14" t="s">
        <v>101</v>
      </c>
    </row>
  </sheetData>
  <mergeCells count="12">
    <mergeCell ref="C26:K26"/>
    <mergeCell ref="C27:D27"/>
    <mergeCell ref="E27:F27"/>
    <mergeCell ref="G27:H27"/>
    <mergeCell ref="I27:J27"/>
    <mergeCell ref="K27:L27"/>
    <mergeCell ref="C13:K13"/>
    <mergeCell ref="C14:D14"/>
    <mergeCell ref="E14:F14"/>
    <mergeCell ref="G14:H14"/>
    <mergeCell ref="I14:J14"/>
    <mergeCell ref="K14:L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sobol_indices_combined_Gradient</vt:lpstr>
      <vt:lpstr>Sheet3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Rynne</dc:creator>
  <cp:lastModifiedBy>Nina Rynne</cp:lastModifiedBy>
  <dcterms:created xsi:type="dcterms:W3CDTF">2025-11-01T04:07:24Z</dcterms:created>
  <dcterms:modified xsi:type="dcterms:W3CDTF">2025-11-01T10:44:03Z</dcterms:modified>
</cp:coreProperties>
</file>